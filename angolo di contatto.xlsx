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ls" ContentType="application/vnd.ms-exce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rg\Documents\#HEIA FRIBOURG\Nanotecnologie\"/>
    </mc:Choice>
  </mc:AlternateContent>
  <xr:revisionPtr revIDLastSave="0" documentId="13_ncr:1_{6DACF741-A5B0-4BCD-BB61-472D8D9986F9}" xr6:coauthVersionLast="47" xr6:coauthVersionMax="47" xr10:uidLastSave="{00000000-0000-0000-0000-000000000000}"/>
  <bookViews>
    <workbookView xWindow="-23148" yWindow="-108" windowWidth="23256" windowHeight="12456" xr2:uid="{ADF7011A-D0CF-4902-891E-F927AC26019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7" i="1" l="1"/>
  <c r="K43" i="1"/>
  <c r="K22" i="1"/>
  <c r="K34" i="1"/>
  <c r="K31" i="1"/>
  <c r="J38" i="1"/>
  <c r="H19" i="1"/>
  <c r="H18" i="1"/>
  <c r="H17" i="1"/>
  <c r="H22" i="1"/>
  <c r="H21" i="1"/>
  <c r="H20" i="1"/>
  <c r="H31" i="1"/>
  <c r="H30" i="1"/>
  <c r="H29" i="1"/>
  <c r="H34" i="1"/>
  <c r="H33" i="1"/>
  <c r="H32" i="1"/>
  <c r="L39" i="1"/>
  <c r="L40" i="1"/>
  <c r="L38" i="1"/>
  <c r="K38" i="1"/>
  <c r="H40" i="1"/>
  <c r="K40" i="1"/>
  <c r="H39" i="1"/>
  <c r="K39" i="1"/>
  <c r="H38" i="1"/>
  <c r="F24" i="1"/>
  <c r="F25" i="1"/>
  <c r="F26" i="1"/>
  <c r="F27" i="1"/>
  <c r="F28" i="1"/>
  <c r="F29" i="1"/>
  <c r="G29" i="1" s="1"/>
  <c r="I29" i="1" s="1"/>
  <c r="F30" i="1"/>
  <c r="G30" i="1" s="1"/>
  <c r="I30" i="1" s="1"/>
  <c r="F31" i="1"/>
  <c r="G31" i="1" s="1"/>
  <c r="I31" i="1" s="1"/>
  <c r="F32" i="1"/>
  <c r="G32" i="1" s="1"/>
  <c r="F33" i="1"/>
  <c r="G33" i="1" s="1"/>
  <c r="F34" i="1"/>
  <c r="G34" i="1" s="1"/>
  <c r="F35" i="1"/>
  <c r="F36" i="1"/>
  <c r="F37" i="1"/>
  <c r="F38" i="1"/>
  <c r="G38" i="1" s="1"/>
  <c r="F39" i="1"/>
  <c r="G39" i="1" s="1"/>
  <c r="I39" i="1" s="1"/>
  <c r="F40" i="1"/>
  <c r="G40" i="1" s="1"/>
  <c r="I40" i="1" s="1"/>
  <c r="F41" i="1"/>
  <c r="F42" i="1"/>
  <c r="F43" i="1"/>
  <c r="F6" i="1"/>
  <c r="F7" i="1"/>
  <c r="F8" i="1"/>
  <c r="F9" i="1"/>
  <c r="F10" i="1"/>
  <c r="F11" i="1"/>
  <c r="F12" i="1"/>
  <c r="F13" i="1"/>
  <c r="F14" i="1"/>
  <c r="F15" i="1"/>
  <c r="F16" i="1"/>
  <c r="F17" i="1"/>
  <c r="G17" i="1" s="1"/>
  <c r="I17" i="1" s="1"/>
  <c r="F18" i="1"/>
  <c r="G18" i="1" s="1"/>
  <c r="I18" i="1" s="1"/>
  <c r="F19" i="1"/>
  <c r="G19" i="1" s="1"/>
  <c r="I19" i="1" s="1"/>
  <c r="F20" i="1"/>
  <c r="G20" i="1" s="1"/>
  <c r="I20" i="1" s="1"/>
  <c r="F21" i="1"/>
  <c r="G21" i="1" s="1"/>
  <c r="I21" i="1" s="1"/>
  <c r="F22" i="1"/>
  <c r="G22" i="1" s="1"/>
  <c r="I22" i="1" s="1"/>
  <c r="F5" i="1"/>
  <c r="F23" i="1"/>
  <c r="I34" i="1" l="1"/>
  <c r="I33" i="1"/>
  <c r="J32" i="1" s="1"/>
  <c r="I32" i="1"/>
  <c r="I38" i="1"/>
  <c r="J20" i="1"/>
  <c r="J17" i="1"/>
  <c r="J29" i="1"/>
  <c r="N90" i="1"/>
  <c r="N73" i="1"/>
  <c r="O73" i="1"/>
  <c r="N75" i="1" s="1"/>
  <c r="O68" i="1"/>
  <c r="O95" i="1"/>
  <c r="N95" i="1"/>
  <c r="N68" i="1"/>
  <c r="O49" i="1"/>
  <c r="N49" i="1"/>
  <c r="O90" i="1"/>
  <c r="N92" i="1" s="1"/>
  <c r="N52" i="1" l="1"/>
  <c r="N97" i="1"/>
  <c r="N70" i="1"/>
</calcChain>
</file>

<file path=xl/sharedStrings.xml><?xml version="1.0" encoding="utf-8"?>
<sst xmlns="http://schemas.openxmlformats.org/spreadsheetml/2006/main" count="122" uniqueCount="82">
  <si>
    <t>Substrat</t>
  </si>
  <si>
    <t>Goutte</t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</si>
  <si>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Feuille de Lotus (à couper un bout et éventuellement coller sur un support)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</si>
  <si>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Bout de tissu avec un nanocoating « sol-gel » hydrophobe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</si>
  <si>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Plaque en verre (à mesurer vierge et avec dépôt de suie)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</si>
  <si>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 xml:space="preserve">Pièce en plexiglas 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</si>
  <si>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Pièce en téflon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</si>
  <si>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 xml:space="preserve">Les échantillons revêtus avec une couche sol-gel (toujours test de la partie vierge </t>
    </r>
    <r>
      <rPr>
        <b/>
        <sz val="11"/>
        <color theme="1"/>
        <rFont val="Arial"/>
        <family val="2"/>
      </rPr>
      <t>et</t>
    </r>
    <r>
      <rPr>
        <sz val="11"/>
        <color theme="1"/>
        <rFont val="Arial"/>
        <family val="2"/>
      </rPr>
      <t xml:space="preserve"> de la partie revêtue)</t>
    </r>
  </si>
  <si>
    <t xml:space="preserve">oléophobe: diiodométhane CH2I2 </t>
  </si>
  <si>
    <t xml:space="preserve">oléophile: octanol </t>
  </si>
  <si>
    <t xml:space="preserve">b) Calculer la tension superficielle critique pour les trois substrats suivants : </t>
  </si>
  <si>
    <t>la pièce en téflon</t>
  </si>
  <si>
    <t>lame en verre revêtue avec une couche « anti-pluie »</t>
  </si>
  <si>
    <t xml:space="preserve">pièce métallique avec le revêtement « anti-fingerprint ». </t>
  </si>
  <si>
    <t>Tensions superficielles des liquides:</t>
  </si>
  <si>
    <t xml:space="preserve">mouillage complet ou </t>
  </si>
  <si>
    <t xml:space="preserve">c) mettre dans un graphique les cosinus des angles de contact mesurés en fonction de la tension superficielle </t>
  </si>
  <si>
    <r>
      <t>a)</t>
    </r>
    <r>
      <rPr>
        <b/>
        <sz val="7"/>
        <color theme="1"/>
        <rFont val="Calibri"/>
        <family val="2"/>
        <scheme val="minor"/>
      </rPr>
      <t xml:space="preserve">     </t>
    </r>
    <r>
      <rPr>
        <b/>
        <sz val="11"/>
        <color theme="1"/>
        <rFont val="Calibri"/>
        <family val="2"/>
        <scheme val="minor"/>
      </rPr>
      <t xml:space="preserve">Classer les surfaces selon leur caractère hydrophile/hydrophobe et oléophile/oléphobe. </t>
    </r>
  </si>
  <si>
    <t xml:space="preserve">d) calculer la tension superficielle GAMMAsg pour les mêmes trois substrats en prenant à chaque fois en compte les mesures avec les trois liquides. </t>
  </si>
  <si>
    <t xml:space="preserve">e)En utilisant les angles de contact avec du téflon calculer la partie polaire et dispersive de la tension superficielle des trois liquides (voir exercice 2, série 1). 
 </t>
  </si>
  <si>
    <t>Feuille de Lotus</t>
  </si>
  <si>
    <t>Bout de tissu avec un nanocoating « sol-gel » hydrophobe</t>
  </si>
  <si>
    <t>Plaque en verre</t>
  </si>
  <si>
    <t>Plaque en verre + suie</t>
  </si>
  <si>
    <t xml:space="preserve">Pièce en plexiglas </t>
  </si>
  <si>
    <t>Pièce en téflon</t>
  </si>
  <si>
    <r>
      <t>Θ</t>
    </r>
    <r>
      <rPr>
        <b/>
        <vertAlign val="subscript"/>
        <sz val="12"/>
        <color rgb="FF202124"/>
        <rFont val="Calibri"/>
        <family val="2"/>
        <scheme val="minor"/>
      </rPr>
      <t>1 </t>
    </r>
  </si>
  <si>
    <r>
      <t>Θ</t>
    </r>
    <r>
      <rPr>
        <b/>
        <vertAlign val="subscript"/>
        <sz val="12"/>
        <color rgb="FF202124"/>
        <rFont val="Calibri"/>
        <family val="2"/>
        <scheme val="minor"/>
      </rPr>
      <t>2</t>
    </r>
  </si>
  <si>
    <r>
      <t>Θ</t>
    </r>
    <r>
      <rPr>
        <b/>
        <vertAlign val="subscript"/>
        <sz val="11"/>
        <color theme="1"/>
        <rFont val="Calibri"/>
        <family val="2"/>
        <scheme val="minor"/>
      </rPr>
      <t>moyenne</t>
    </r>
  </si>
  <si>
    <r>
      <t>Cos(Θ</t>
    </r>
    <r>
      <rPr>
        <b/>
        <vertAlign val="subscript"/>
        <sz val="11"/>
        <color theme="1"/>
        <rFont val="Calibri"/>
        <family val="2"/>
        <scheme val="minor"/>
      </rPr>
      <t>moyenne</t>
    </r>
    <r>
      <rPr>
        <b/>
        <sz val="11"/>
        <color theme="1"/>
        <rFont val="Calibri"/>
        <family val="2"/>
        <scheme val="minor"/>
      </rPr>
      <t>)</t>
    </r>
  </si>
  <si>
    <t>H2O</t>
  </si>
  <si>
    <t>CH2I2</t>
  </si>
  <si>
    <t>Octanol</t>
  </si>
  <si>
    <t>f) expliquer (en se servant des aspects traités en cours) ce qui se cache chimiquement derrière ces couches.</t>
  </si>
  <si>
    <t>Plaque en verre +  revêtement « anti-rain» 100</t>
  </si>
  <si>
    <t>Plaque en verre +  revêtement « anti-rain» 5</t>
  </si>
  <si>
    <t>Plaque en verre +  revêtement « antifog» 100</t>
  </si>
  <si>
    <t>Plaque en verre +  revêtement « antifog» 5</t>
  </si>
  <si>
    <t>Pièce métallique avec le revêtement « anti-fingerprint » 5</t>
  </si>
  <si>
    <t>Pièce métallique avec le revêtement « anti-fingerprint » 100</t>
  </si>
  <si>
    <t>Pièce métallique</t>
  </si>
  <si>
    <t>irregolare</t>
  </si>
  <si>
    <t>Pente</t>
  </si>
  <si>
    <t>ordonne</t>
  </si>
  <si>
    <t>Pente 5</t>
  </si>
  <si>
    <t>ordonne 5</t>
  </si>
  <si>
    <t>pente 100</t>
  </si>
  <si>
    <t>ordonne 100</t>
  </si>
  <si>
    <t>tensione sup critica</t>
  </si>
  <si>
    <r>
      <t>γ</t>
    </r>
    <r>
      <rPr>
        <vertAlign val="subscript"/>
        <sz val="11"/>
        <color theme="1"/>
        <rFont val="Calibri"/>
        <family val="2"/>
        <scheme val="minor"/>
      </rPr>
      <t>sg</t>
    </r>
  </si>
  <si>
    <r>
      <t>γ</t>
    </r>
    <r>
      <rPr>
        <vertAlign val="subscript"/>
        <sz val="11"/>
        <color theme="1"/>
        <rFont val="Calibri"/>
        <family val="2"/>
        <scheme val="minor"/>
      </rPr>
      <t>sg</t>
    </r>
    <r>
      <rPr>
        <sz val="11"/>
        <color theme="1"/>
        <rFont val="Calibri"/>
        <family val="2"/>
        <scheme val="minor"/>
      </rPr>
      <t xml:space="preserve"> </t>
    </r>
    <r>
      <rPr>
        <vertAlign val="subscript"/>
        <sz val="11"/>
        <color theme="1"/>
        <rFont val="Calibri"/>
        <family val="2"/>
        <scheme val="minor"/>
      </rPr>
      <t>moyenne</t>
    </r>
  </si>
  <si>
    <r>
      <t xml:space="preserve">Selon la théorie d’Owens/Wendt la tension superificielle totale </t>
    </r>
    <r>
      <rPr>
        <b/>
        <i/>
        <sz val="11"/>
        <color theme="1"/>
        <rFont val="Symbol"/>
        <family val="1"/>
        <charset val="2"/>
      </rPr>
      <t>g</t>
    </r>
    <r>
      <rPr>
        <b/>
        <i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est la somme de deux contributions : une contribution polaire </t>
    </r>
    <r>
      <rPr>
        <b/>
        <i/>
        <sz val="11"/>
        <color theme="1"/>
        <rFont val="Symbol"/>
        <family val="1"/>
        <charset val="2"/>
      </rPr>
      <t>g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b/>
        <i/>
        <vertAlign val="superscript"/>
        <sz val="11"/>
        <color theme="1"/>
        <rFont val="Calibri"/>
        <family val="2"/>
        <scheme val="minor"/>
      </rPr>
      <t>P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et une contribution dispersive </t>
    </r>
    <r>
      <rPr>
        <b/>
        <i/>
        <sz val="11"/>
        <color theme="1"/>
        <rFont val="Symbol"/>
        <family val="1"/>
        <charset val="2"/>
      </rPr>
      <t>g</t>
    </r>
    <r>
      <rPr>
        <b/>
        <i/>
        <vertAlign val="superscript"/>
        <sz val="11"/>
        <color theme="1"/>
        <rFont val="Calibri"/>
        <family val="2"/>
        <scheme val="minor"/>
      </rPr>
      <t xml:space="preserve">  D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. La partie « polaire » est due aux dipôles électriques permanents de la substance et la partie dispersive est due aux forces Van-der-Waals (fluctuations des dipôles) avec</t>
    </r>
  </si>
  <si>
    <r>
      <t xml:space="preserve">                                                                                    </t>
    </r>
    <r>
      <rPr>
        <b/>
        <i/>
        <sz val="11"/>
        <color theme="1"/>
        <rFont val="Calibri"/>
        <family val="2"/>
        <scheme val="minor"/>
      </rPr>
      <t>tourner svp. !</t>
    </r>
  </si>
  <si>
    <r>
      <t xml:space="preserve">Afin de déterminer la partie polaire et dispersive d’un liquide il faut connaître la tension superficielle totale </t>
    </r>
    <r>
      <rPr>
        <b/>
        <i/>
        <sz val="11"/>
        <color theme="1"/>
        <rFont val="Symbol"/>
        <family val="1"/>
        <charset val="2"/>
      </rPr>
      <t>g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et effectuer un test d’angle de contact normé sur du téflon (substrat apolaire). La partie dispersive du liquide vaut :</t>
    </r>
  </si>
  <si>
    <r>
      <t xml:space="preserve">Où </t>
    </r>
    <r>
      <rPr>
        <sz val="11"/>
        <color theme="1"/>
        <rFont val="Symbol"/>
        <family val="1"/>
        <charset val="2"/>
      </rPr>
      <t>q</t>
    </r>
    <r>
      <rPr>
        <vertAlign val="subscript"/>
        <sz val="11"/>
        <color theme="1"/>
        <rFont val="Calibri"/>
        <family val="2"/>
        <scheme val="minor"/>
      </rPr>
      <t xml:space="preserve">PTFE </t>
    </r>
    <r>
      <rPr>
        <sz val="11"/>
        <color theme="1"/>
        <rFont val="Calibri"/>
        <family val="2"/>
        <scheme val="minor"/>
      </rPr>
      <t xml:space="preserve">est l’angle de contact du liquide en question par rapport au téflon. </t>
    </r>
  </si>
  <si>
    <t>Pour les liquides suivants on mesure les angles de contact par rapport au téflon suivant :</t>
  </si>
  <si>
    <t>substance</t>
  </si>
  <si>
    <r>
      <t xml:space="preserve">Angle de contact </t>
    </r>
    <r>
      <rPr>
        <b/>
        <sz val="11"/>
        <color rgb="FF000000"/>
        <rFont val="Symbol"/>
        <family val="1"/>
        <charset val="2"/>
      </rPr>
      <t>q</t>
    </r>
    <r>
      <rPr>
        <b/>
        <vertAlign val="subscript"/>
        <sz val="11"/>
        <color rgb="FF000000"/>
        <rFont val="Calibri"/>
        <family val="2"/>
        <scheme val="minor"/>
      </rPr>
      <t>PTFE</t>
    </r>
  </si>
  <si>
    <r>
      <t xml:space="preserve">Tension superficielle </t>
    </r>
    <r>
      <rPr>
        <b/>
        <i/>
        <sz val="11"/>
        <color rgb="FF000000"/>
        <rFont val="Symbol"/>
        <family val="1"/>
        <charset val="2"/>
      </rPr>
      <t>g</t>
    </r>
  </si>
  <si>
    <r>
      <t xml:space="preserve">Partie dispersive </t>
    </r>
    <r>
      <rPr>
        <b/>
        <i/>
        <sz val="11"/>
        <color rgb="FF000000"/>
        <rFont val="Symbol"/>
        <family val="1"/>
        <charset val="2"/>
      </rPr>
      <t>g</t>
    </r>
    <r>
      <rPr>
        <b/>
        <i/>
        <sz val="11"/>
        <color rgb="FF000000"/>
        <rFont val="Calibri"/>
        <family val="2"/>
        <scheme val="minor"/>
      </rPr>
      <t xml:space="preserve"> </t>
    </r>
    <r>
      <rPr>
        <b/>
        <i/>
        <vertAlign val="superscript"/>
        <sz val="11"/>
        <color rgb="FF000000"/>
        <rFont val="Calibri"/>
        <family val="2"/>
        <scheme val="minor"/>
      </rPr>
      <t>D</t>
    </r>
  </si>
  <si>
    <r>
      <t>Partie polaire</t>
    </r>
    <r>
      <rPr>
        <b/>
        <i/>
        <sz val="11"/>
        <color rgb="FF000000"/>
        <rFont val="Calibri"/>
        <family val="2"/>
        <scheme val="minor"/>
      </rPr>
      <t xml:space="preserve"> </t>
    </r>
    <r>
      <rPr>
        <b/>
        <i/>
        <sz val="11"/>
        <color rgb="FF000000"/>
        <rFont val="Symbol"/>
        <family val="1"/>
        <charset val="2"/>
      </rPr>
      <t>g</t>
    </r>
    <r>
      <rPr>
        <b/>
        <i/>
        <vertAlign val="superscript"/>
        <sz val="11"/>
        <color rgb="FF000000"/>
        <rFont val="Calibri"/>
        <family val="2"/>
        <scheme val="minor"/>
      </rPr>
      <t xml:space="preserve">  P</t>
    </r>
  </si>
  <si>
    <t>n-octane</t>
  </si>
  <si>
    <t>21.3 mN/m</t>
  </si>
  <si>
    <t>toluene</t>
  </si>
  <si>
    <t>28.4 mN/m</t>
  </si>
  <si>
    <t>diiodométhane</t>
  </si>
  <si>
    <t>50.8 mN/m</t>
  </si>
  <si>
    <t>formamide</t>
  </si>
  <si>
    <t>57 mN/m</t>
  </si>
  <si>
    <t>eau</t>
  </si>
  <si>
    <t>72.8 mN/m</t>
  </si>
  <si>
    <t>Partie dispersive γD</t>
  </si>
  <si>
    <t>Partie polaire γ  P</t>
  </si>
  <si>
    <t>y = -0.0166x + 1.1883</t>
  </si>
  <si>
    <t>y = -0.0169x + 1.2352</t>
  </si>
  <si>
    <t>y = -0.02x + 1.2417</t>
  </si>
  <si>
    <t>teflon</t>
  </si>
  <si>
    <t>y = -0.0148x + 1.0623</t>
  </si>
  <si>
    <t>y = -0.0128x + 0.9297</t>
  </si>
  <si>
    <t>finer print</t>
  </si>
  <si>
    <t>ectype</t>
  </si>
  <si>
    <t>ectype teflon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</si>
</sst>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"/>
    <numFmt numFmtId="170" formatCode="0.00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7"/>
      <color theme="1"/>
      <name val="Times New Roman"/>
      <family val="1"/>
    </font>
    <font>
      <b/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2"/>
      <color rgb="FF202124"/>
      <name val="Calibri"/>
      <family val="2"/>
      <scheme val="minor"/>
    </font>
    <font>
      <b/>
      <vertAlign val="subscript"/>
      <sz val="12"/>
      <color rgb="FF202124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Symbol"/>
      <family val="1"/>
      <charset val="2"/>
    </font>
    <font>
      <b/>
      <i/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Symbol"/>
      <family val="1"/>
      <charset val="2"/>
    </font>
    <font>
      <b/>
      <vertAlign val="subscript"/>
      <sz val="11"/>
      <color rgb="FF000000"/>
      <name val="Calibri"/>
      <family val="2"/>
      <scheme val="minor"/>
    </font>
    <font>
      <b/>
      <i/>
      <sz val="11"/>
      <color rgb="FF000000"/>
      <name val="Symbol"/>
      <family val="1"/>
      <charset val="2"/>
    </font>
    <font>
      <b/>
      <i/>
      <sz val="11"/>
      <color rgb="FF000000"/>
      <name val="Calibri"/>
      <family val="2"/>
      <scheme val="minor"/>
    </font>
    <font>
      <b/>
      <i/>
      <vertAlign val="superscript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44546A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0" borderId="0" xfId="0" applyFont="1" applyAlignment="1">
      <alignment horizontal="left" vertical="center" indent="5"/>
    </xf>
    <xf numFmtId="0" fontId="1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0" fillId="0" borderId="0" xfId="0" applyBorder="1"/>
    <xf numFmtId="0" fontId="0" fillId="0" borderId="6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0" fontId="0" fillId="2" borderId="0" xfId="0" applyFill="1" applyBorder="1"/>
    <xf numFmtId="0" fontId="0" fillId="3" borderId="0" xfId="0" applyFill="1" applyBorder="1"/>
    <xf numFmtId="0" fontId="0" fillId="4" borderId="0" xfId="0" applyFill="1" applyBorder="1"/>
    <xf numFmtId="0" fontId="0" fillId="0" borderId="5" xfId="0" applyBorder="1" applyAlignment="1">
      <alignment horizontal="center"/>
    </xf>
    <xf numFmtId="0" fontId="1" fillId="5" borderId="10" xfId="0" applyFont="1" applyFill="1" applyBorder="1"/>
    <xf numFmtId="0" fontId="1" fillId="5" borderId="11" xfId="0" applyFont="1" applyFill="1" applyBorder="1"/>
    <xf numFmtId="0" fontId="8" fillId="5" borderId="11" xfId="0" applyFont="1" applyFill="1" applyBorder="1"/>
    <xf numFmtId="0" fontId="1" fillId="5" borderId="12" xfId="0" applyFont="1" applyFill="1" applyBorder="1"/>
    <xf numFmtId="0" fontId="0" fillId="3" borderId="8" xfId="0" applyFill="1" applyBorder="1"/>
    <xf numFmtId="0" fontId="0" fillId="4" borderId="3" xfId="0" applyFill="1" applyBorder="1"/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6" xfId="0" applyFont="1" applyBorder="1"/>
    <xf numFmtId="0" fontId="0" fillId="2" borderId="0" xfId="0" applyFont="1" applyFill="1" applyBorder="1"/>
    <xf numFmtId="0" fontId="0" fillId="4" borderId="3" xfId="0" applyFont="1" applyFill="1" applyBorder="1"/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3" borderId="8" xfId="0" applyFont="1" applyFill="1" applyBorder="1"/>
    <xf numFmtId="0" fontId="0" fillId="0" borderId="8" xfId="0" applyFont="1" applyBorder="1" applyAlignment="1">
      <alignment horizontal="center"/>
    </xf>
    <xf numFmtId="0" fontId="0" fillId="0" borderId="9" xfId="0" applyFont="1" applyBorder="1"/>
    <xf numFmtId="0" fontId="0" fillId="0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170" fontId="0" fillId="0" borderId="9" xfId="0" applyNumberFormat="1" applyBorder="1"/>
    <xf numFmtId="170" fontId="0" fillId="0" borderId="6" xfId="0" applyNumberFormat="1" applyBorder="1"/>
    <xf numFmtId="168" fontId="0" fillId="0" borderId="4" xfId="0" applyNumberFormat="1" applyBorder="1"/>
    <xf numFmtId="170" fontId="0" fillId="0" borderId="4" xfId="0" applyNumberFormat="1" applyBorder="1"/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7" borderId="1" xfId="0" applyFill="1" applyBorder="1"/>
    <xf numFmtId="0" fontId="0" fillId="7" borderId="0" xfId="0" applyFill="1"/>
    <xf numFmtId="0" fontId="0" fillId="8" borderId="1" xfId="0" applyFill="1" applyBorder="1"/>
    <xf numFmtId="0" fontId="0" fillId="8" borderId="0" xfId="0" applyFill="1"/>
    <xf numFmtId="0" fontId="0" fillId="9" borderId="1" xfId="0" applyFill="1" applyBorder="1"/>
    <xf numFmtId="0" fontId="0" fillId="9" borderId="0" xfId="0" applyFill="1"/>
    <xf numFmtId="0" fontId="0" fillId="10" borderId="1" xfId="0" applyFill="1" applyBorder="1"/>
    <xf numFmtId="0" fontId="0" fillId="10" borderId="0" xfId="0" applyFill="1"/>
    <xf numFmtId="0" fontId="0" fillId="11" borderId="1" xfId="0" applyFill="1" applyBorder="1"/>
    <xf numFmtId="0" fontId="0" fillId="11" borderId="0" xfId="0" applyFill="1"/>
    <xf numFmtId="0" fontId="0" fillId="5" borderId="13" xfId="0" applyFill="1" applyBorder="1"/>
    <xf numFmtId="0" fontId="0" fillId="0" borderId="14" xfId="0" applyBorder="1"/>
    <xf numFmtId="0" fontId="0" fillId="0" borderId="15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5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2" xfId="0" applyFont="1" applyBorder="1" applyAlignment="1">
      <alignment wrapText="1"/>
    </xf>
    <xf numFmtId="0" fontId="12" fillId="0" borderId="2" xfId="0" applyFont="1" applyBorder="1"/>
    <xf numFmtId="0" fontId="11" fillId="0" borderId="2" xfId="0" applyFont="1" applyBorder="1"/>
    <xf numFmtId="0" fontId="11" fillId="0" borderId="5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2" fillId="6" borderId="2" xfId="0" applyFont="1" applyFill="1" applyBorder="1" applyAlignment="1">
      <alignment wrapText="1"/>
    </xf>
    <xf numFmtId="0" fontId="12" fillId="6" borderId="5" xfId="0" applyFont="1" applyFill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6" borderId="5" xfId="0" applyFont="1" applyFill="1" applyBorder="1"/>
    <xf numFmtId="0" fontId="0" fillId="0" borderId="0" xfId="0" applyAlignment="1">
      <alignment vertical="center"/>
    </xf>
    <xf numFmtId="0" fontId="18" fillId="0" borderId="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2" xfId="0" applyFont="1" applyBorder="1" applyAlignment="1">
      <alignment horizontal="center" vertical="center" wrapText="1"/>
    </xf>
    <xf numFmtId="0" fontId="24" fillId="0" borderId="15" xfId="0" applyFont="1" applyBorder="1" applyAlignment="1">
      <alignment vertical="center" wrapText="1"/>
    </xf>
    <xf numFmtId="0" fontId="24" fillId="0" borderId="9" xfId="0" applyFont="1" applyBorder="1" applyAlignment="1">
      <alignment horizontal="right" vertical="center" wrapText="1"/>
    </xf>
    <xf numFmtId="0" fontId="17" fillId="0" borderId="9" xfId="0" applyFont="1" applyBorder="1" applyAlignment="1">
      <alignment vertical="center" wrapText="1"/>
    </xf>
    <xf numFmtId="0" fontId="0" fillId="5" borderId="10" xfId="0" applyFill="1" applyBorder="1"/>
    <xf numFmtId="0" fontId="0" fillId="5" borderId="12" xfId="0" applyFill="1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25" fillId="0" borderId="0" xfId="0" applyFont="1" applyAlignment="1">
      <alignment horizontal="center" vertical="center" readingOrder="1"/>
    </xf>
    <xf numFmtId="2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t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CH"/>
        </a:p>
      </c:txPr>
    </c:title>
    <c:autoTitleDeleted val="0"/>
    <c:plotArea>
      <c:layout>
        <c:manualLayout>
          <c:layoutTarget val="inner"/>
          <c:xMode val="edge"/>
          <c:yMode val="edge"/>
          <c:x val="0.11254868487548568"/>
          <c:y val="7.2435771175848276E-2"/>
          <c:w val="0.83595143777472325"/>
          <c:h val="0.73395892390141282"/>
        </c:manualLayout>
      </c:layout>
      <c:scatterChart>
        <c:scatterStyle val="lineMarker"/>
        <c:varyColors val="0"/>
        <c:ser>
          <c:idx val="3"/>
          <c:order val="0"/>
          <c:tx>
            <c:v>Verre "Anti-rain" 5 mm/min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4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Feuil1!$H$38:$H$40</c:f>
              <c:numCache>
                <c:formatCode>General</c:formatCode>
                <c:ptCount val="3"/>
                <c:pt idx="0">
                  <c:v>72.8</c:v>
                </c:pt>
                <c:pt idx="1">
                  <c:v>50.8</c:v>
                </c:pt>
                <c:pt idx="2">
                  <c:v>21.6</c:v>
                </c:pt>
              </c:numCache>
            </c:numRef>
          </c:xVal>
          <c:yVal>
            <c:numRef>
              <c:f>Feuil1!$G$17:$G$19</c:f>
              <c:numCache>
                <c:formatCode>0.0000</c:formatCode>
                <c:ptCount val="3"/>
                <c:pt idx="0">
                  <c:v>1.1292040271630178E-2</c:v>
                </c:pt>
                <c:pt idx="1">
                  <c:v>0.36989270051470852</c:v>
                </c:pt>
                <c:pt idx="2">
                  <c:v>0.87417511001923132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645-43FB-A35F-C61FEC2385C6}"/>
            </c:ext>
          </c:extLst>
        </c:ser>
        <c:ser>
          <c:idx val="4"/>
          <c:order val="1"/>
          <c:tx>
            <c:v>Verre "Anti-rain" 100 mm/min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5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Feuil1!$H$38:$H$40</c:f>
              <c:numCache>
                <c:formatCode>General</c:formatCode>
                <c:ptCount val="3"/>
                <c:pt idx="0">
                  <c:v>72.8</c:v>
                </c:pt>
                <c:pt idx="1">
                  <c:v>50.8</c:v>
                </c:pt>
                <c:pt idx="2">
                  <c:v>21.6</c:v>
                </c:pt>
              </c:numCache>
            </c:numRef>
          </c:xVal>
          <c:yVal>
            <c:numRef>
              <c:f>Feuil1!$G$20:$G$22</c:f>
              <c:numCache>
                <c:formatCode>0.0000</c:formatCode>
                <c:ptCount val="3"/>
                <c:pt idx="0" formatCode="0.000000">
                  <c:v>2.8274296209699437E-3</c:v>
                </c:pt>
                <c:pt idx="1">
                  <c:v>0.31284056850820363</c:v>
                </c:pt>
                <c:pt idx="2">
                  <c:v>0.84556479897873504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645-43FB-A35F-C61FEC2385C6}"/>
            </c:ext>
          </c:extLst>
        </c:ser>
        <c:ser>
          <c:idx val="0"/>
          <c:order val="2"/>
          <c:tx>
            <c:v>Téflon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Feuil1!$H$38:$H$40</c:f>
              <c:numCache>
                <c:formatCode>General</c:formatCode>
                <c:ptCount val="3"/>
                <c:pt idx="0">
                  <c:v>72.8</c:v>
                </c:pt>
                <c:pt idx="1">
                  <c:v>50.8</c:v>
                </c:pt>
                <c:pt idx="2">
                  <c:v>21.6</c:v>
                </c:pt>
              </c:numCache>
            </c:numRef>
          </c:xVal>
          <c:yVal>
            <c:numRef>
              <c:f>Feuil1!$G$38:$G$40</c:f>
              <c:numCache>
                <c:formatCode>0.0000</c:formatCode>
                <c:ptCount val="3"/>
                <c:pt idx="0">
                  <c:v>-0.23426837636949951</c:v>
                </c:pt>
                <c:pt idx="1">
                  <c:v>0.26764199720202303</c:v>
                </c:pt>
                <c:pt idx="2">
                  <c:v>0.79339583792302815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645-43FB-A35F-C61FEC2385C6}"/>
            </c:ext>
          </c:extLst>
        </c:ser>
        <c:ser>
          <c:idx val="1"/>
          <c:order val="3"/>
          <c:tx>
            <c:v>Acier""Anti-fingerprint" 5mm/min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Feuil1!$H$38:$H$40</c:f>
              <c:numCache>
                <c:formatCode>General</c:formatCode>
                <c:ptCount val="3"/>
                <c:pt idx="0">
                  <c:v>72.8</c:v>
                </c:pt>
                <c:pt idx="1">
                  <c:v>50.8</c:v>
                </c:pt>
                <c:pt idx="2">
                  <c:v>21.6</c:v>
                </c:pt>
              </c:numCache>
            </c:numRef>
          </c:xVal>
          <c:yVal>
            <c:numRef>
              <c:f>Feuil1!$G$29:$G$31</c:f>
              <c:numCache>
                <c:formatCode>0.0000</c:formatCode>
                <c:ptCount val="3"/>
                <c:pt idx="0">
                  <c:v>1.4075615592134104E-2</c:v>
                </c:pt>
                <c:pt idx="1">
                  <c:v>0.25886119132112689</c:v>
                </c:pt>
                <c:pt idx="2">
                  <c:v>0.66397841718952855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645-43FB-A35F-C61FEC2385C6}"/>
            </c:ext>
          </c:extLst>
        </c:ser>
        <c:ser>
          <c:idx val="2"/>
          <c:order val="4"/>
          <c:tx>
            <c:v>Acier "Anti-fingerprint" 100 mm/min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3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Feuil1!$H$38:$H$40</c:f>
              <c:numCache>
                <c:formatCode>General</c:formatCode>
                <c:ptCount val="3"/>
                <c:pt idx="0">
                  <c:v>72.8</c:v>
                </c:pt>
                <c:pt idx="1">
                  <c:v>50.8</c:v>
                </c:pt>
                <c:pt idx="2">
                  <c:v>21.6</c:v>
                </c:pt>
              </c:numCache>
            </c:numRef>
          </c:xVal>
          <c:yVal>
            <c:numRef>
              <c:f>Feuil1!$G$32:$G$34</c:f>
              <c:numCache>
                <c:formatCode>0.0000</c:formatCode>
                <c:ptCount val="3"/>
                <c:pt idx="0">
                  <c:v>-1.9494092843843645E-2</c:v>
                </c:pt>
                <c:pt idx="1">
                  <c:v>0.31327983178286861</c:v>
                </c:pt>
                <c:pt idx="2">
                  <c:v>0.74023572975501761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645-43FB-A35F-C61FEC238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533680"/>
        <c:axId val="1230534512"/>
      </c:scatterChart>
      <c:valAx>
        <c:axId val="123053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1" i="0" u="none" strike="noStrike" kern="1200" baseline="0">
                    <a:solidFill>
                      <a:srgbClr val="44546A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CH" sz="900" b="1" i="0" u="none" strike="noStrike" kern="1200" baseline="0">
                    <a:solidFill>
                      <a:srgbClr val="44546A"/>
                    </a:solidFill>
                    <a:latin typeface="+mn-lt"/>
                    <a:ea typeface="+mn-ea"/>
                    <a:cs typeface="+mn-cs"/>
                  </a:rPr>
                  <a:t>Tension superficielle [mN/m]</a:t>
                </a:r>
              </a:p>
            </c:rich>
          </c:tx>
          <c:layout>
            <c:manualLayout>
              <c:xMode val="edge"/>
              <c:yMode val="edge"/>
              <c:x val="0.43041930621198099"/>
              <c:y val="0.835433019261084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1" i="0" u="none" strike="noStrike" kern="1200" baseline="0">
                  <a:solidFill>
                    <a:srgbClr val="44546A"/>
                  </a:solidFill>
                  <a:latin typeface="+mn-lt"/>
                  <a:ea typeface="+mn-ea"/>
                  <a:cs typeface="+mn-cs"/>
                </a:defRPr>
              </a:pPr>
              <a:endParaRPr lang="it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t-CH"/>
          </a:p>
        </c:txPr>
        <c:crossAx val="1230534512"/>
        <c:crosses val="autoZero"/>
        <c:crossBetween val="midCat"/>
      </c:valAx>
      <c:valAx>
        <c:axId val="123053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CH" sz="900" b="1" i="0" baseline="0">
                    <a:effectLst/>
                  </a:rPr>
                  <a:t>Cos(</a:t>
                </a:r>
                <a:r>
                  <a:rPr lang="el-GR" sz="900" b="1" i="0" baseline="0">
                    <a:effectLst/>
                  </a:rPr>
                  <a:t>Θ</a:t>
                </a:r>
                <a:r>
                  <a:rPr lang="it-CH" sz="900" b="1" i="0" baseline="0">
                    <a:effectLst/>
                  </a:rPr>
                  <a:t>moyenne)</a:t>
                </a:r>
                <a:endParaRPr lang="it-CH" sz="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t-CH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t-CH"/>
          </a:p>
        </c:txPr>
        <c:crossAx val="1230533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C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8.emf"/><Relationship Id="rId1" Type="http://schemas.openxmlformats.org/officeDocument/2006/relationships/image" Target="../media/image7.jpeg"/><Relationship Id="rId6" Type="http://schemas.openxmlformats.org/officeDocument/2006/relationships/image" Target="../media/image11.png"/><Relationship Id="rId5" Type="http://schemas.openxmlformats.org/officeDocument/2006/relationships/image" Target="../media/image10.emf"/><Relationship Id="rId4" Type="http://schemas.openxmlformats.org/officeDocument/2006/relationships/image" Target="../media/image9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6" Type="http://schemas.openxmlformats.org/officeDocument/2006/relationships/image" Target="../media/image6.emf"/><Relationship Id="rId5" Type="http://schemas.openxmlformats.org/officeDocument/2006/relationships/image" Target="../media/image5.w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25436</xdr:colOff>
          <xdr:row>24</xdr:row>
          <xdr:rowOff>18826</xdr:rowOff>
        </xdr:from>
        <xdr:to>
          <xdr:col>14</xdr:col>
          <xdr:colOff>1690407</xdr:colOff>
          <xdr:row>25</xdr:row>
          <xdr:rowOff>89044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1DBCCD95-E8E0-9F30-7343-E80D03AD73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145453</xdr:colOff>
          <xdr:row>25</xdr:row>
          <xdr:rowOff>373716</xdr:rowOff>
        </xdr:from>
        <xdr:to>
          <xdr:col>14</xdr:col>
          <xdr:colOff>1909483</xdr:colOff>
          <xdr:row>27</xdr:row>
          <xdr:rowOff>47288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5FFA555C-6868-D531-83DE-71361EBA4D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311972</xdr:colOff>
          <xdr:row>25</xdr:row>
          <xdr:rowOff>103509</xdr:rowOff>
        </xdr:from>
        <xdr:to>
          <xdr:col>14</xdr:col>
          <xdr:colOff>1881692</xdr:colOff>
          <xdr:row>25</xdr:row>
          <xdr:rowOff>332354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B7E8B427-904F-82FA-A266-2D05F2223D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66674</xdr:colOff>
          <xdr:row>21</xdr:row>
          <xdr:rowOff>123825</xdr:rowOff>
        </xdr:from>
        <xdr:to>
          <xdr:col>21</xdr:col>
          <xdr:colOff>533399</xdr:colOff>
          <xdr:row>35</xdr:row>
          <xdr:rowOff>171450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9923089E-D6FA-4E11-A929-0D72D6555D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1352550</xdr:colOff>
          <xdr:row>21</xdr:row>
          <xdr:rowOff>9525</xdr:rowOff>
        </xdr:from>
        <xdr:to>
          <xdr:col>14</xdr:col>
          <xdr:colOff>1752600</xdr:colOff>
          <xdr:row>21</xdr:row>
          <xdr:rowOff>180975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A94FEBB8-9E5C-5D94-B46B-3122778464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16</xdr:col>
      <xdr:colOff>647699</xdr:colOff>
      <xdr:row>13</xdr:row>
      <xdr:rowOff>38100</xdr:rowOff>
    </xdr:from>
    <xdr:to>
      <xdr:col>21</xdr:col>
      <xdr:colOff>714374</xdr:colOff>
      <xdr:row>20</xdr:row>
      <xdr:rowOff>489978</xdr:rowOff>
    </xdr:to>
    <xdr:pic>
      <xdr:nvPicPr>
        <xdr:cNvPr id="11" name="Image 1" descr="angle de contact3">
          <a:extLst>
            <a:ext uri="{FF2B5EF4-FFF2-40B4-BE49-F238E27FC236}">
              <a16:creationId xmlns:a16="http://schemas.microsoft.com/office/drawing/2014/main" id="{0849E1DA-4793-1946-E4D6-0EFD306AC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99" t="26247" r="1968" b="8923"/>
        <a:stretch>
          <a:fillRect/>
        </a:stretch>
      </xdr:blipFill>
      <xdr:spPr bwMode="auto">
        <a:xfrm>
          <a:off x="12639674" y="2181225"/>
          <a:ext cx="3876675" cy="21663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2914650</xdr:colOff>
          <xdr:row>12</xdr:row>
          <xdr:rowOff>66675</xdr:rowOff>
        </xdr:from>
        <xdr:to>
          <xdr:col>16</xdr:col>
          <xdr:colOff>438150</xdr:colOff>
          <xdr:row>15</xdr:row>
          <xdr:rowOff>164811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BD2EB014-DDBC-9552-51B8-C610FDF7CA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>
    <xdr:from>
      <xdr:col>14</xdr:col>
      <xdr:colOff>962025</xdr:colOff>
      <xdr:row>28</xdr:row>
      <xdr:rowOff>95250</xdr:rowOff>
    </xdr:from>
    <xdr:to>
      <xdr:col>14</xdr:col>
      <xdr:colOff>2905125</xdr:colOff>
      <xdr:row>30</xdr:row>
      <xdr:rowOff>77645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FB17C5F3-7CFC-8E41-C602-1689D0949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4425" y="7000875"/>
          <a:ext cx="1943100" cy="7443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1333500</xdr:colOff>
      <xdr:row>66</xdr:row>
      <xdr:rowOff>60832</xdr:rowOff>
    </xdr:from>
    <xdr:to>
      <xdr:col>7</xdr:col>
      <xdr:colOff>291352</xdr:colOff>
      <xdr:row>96</xdr:row>
      <xdr:rowOff>89648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2D3168B2-3638-4D89-BF17-DBC615A500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55</xdr:row>
      <xdr:rowOff>0</xdr:rowOff>
    </xdr:from>
    <xdr:to>
      <xdr:col>18</xdr:col>
      <xdr:colOff>409575</xdr:colOff>
      <xdr:row>56</xdr:row>
      <xdr:rowOff>142875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AC514055-34AA-BFC0-874F-92FC08606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16275" y="13058775"/>
          <a:ext cx="11715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0</xdr:colOff>
      <xdr:row>58</xdr:row>
      <xdr:rowOff>0</xdr:rowOff>
    </xdr:from>
    <xdr:to>
      <xdr:col>19</xdr:col>
      <xdr:colOff>533400</xdr:colOff>
      <xdr:row>61</xdr:row>
      <xdr:rowOff>19050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FE76EE26-4ACC-CB33-E785-80A28A5CC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16275" y="13630275"/>
          <a:ext cx="205740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333374</xdr:colOff>
      <xdr:row>44</xdr:row>
      <xdr:rowOff>84424</xdr:rowOff>
    </xdr:from>
    <xdr:to>
      <xdr:col>12</xdr:col>
      <xdr:colOff>164090</xdr:colOff>
      <xdr:row>49</xdr:row>
      <xdr:rowOff>30307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628402D-08BD-5CD9-02EC-9D20B9DECF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7623" t="65702" r="52307" b="25079"/>
        <a:stretch/>
      </xdr:blipFill>
      <xdr:spPr>
        <a:xfrm>
          <a:off x="8334374" y="11081469"/>
          <a:ext cx="5500689" cy="898383"/>
        </a:xfrm>
        <a:prstGeom prst="rect">
          <a:avLst/>
        </a:prstGeom>
      </xdr:spPr>
    </xdr:pic>
    <xdr:clientData/>
  </xdr:twoCellAnchor>
  <xdr:oneCellAnchor>
    <xdr:from>
      <xdr:col>8</xdr:col>
      <xdr:colOff>383302</xdr:colOff>
      <xdr:row>49</xdr:row>
      <xdr:rowOff>8582</xdr:rowOff>
    </xdr:from>
    <xdr:ext cx="1226528" cy="34729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0F9D036C-BA48-0653-8282-4D87B7DE74CE}"/>
                </a:ext>
              </a:extLst>
            </xdr:cNvPr>
            <xdr:cNvSpPr txBox="1"/>
          </xdr:nvSpPr>
          <xdr:spPr>
            <a:xfrm>
              <a:off x="9173516" y="11914832"/>
              <a:ext cx="1226528" cy="347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l-GR" sz="1200" i="1">
                      <a:latin typeface="+mn-lt"/>
                    </a:rPr>
                    <m:t>𝛾</m:t>
                  </m:r>
                  <m:r>
                    <a:rPr lang="it-CH" sz="1200" b="0" i="1" strike="noStrike" baseline="30000">
                      <a:latin typeface="+mn-lt"/>
                    </a:rPr>
                    <m:t>𝐷</m:t>
                  </m:r>
                  <m:r>
                    <a:rPr lang="it-CH" sz="1200" b="0" i="1">
                      <a:latin typeface="+mn-lt"/>
                    </a:rPr>
                    <m:t>=</m:t>
                  </m:r>
                </m:oMath>
              </a14:m>
              <a:r>
                <a:rPr lang="it-CH" sz="1200" baseline="30000">
                  <a:latin typeface="+mn-lt"/>
                </a:rPr>
                <a:t> </a:t>
              </a:r>
              <a14:m>
                <m:oMath xmlns:m="http://schemas.openxmlformats.org/officeDocument/2006/math">
                  <m:f>
                    <m:fPr>
                      <m:ctrlPr>
                        <a:rPr lang="it-CH" sz="1200" i="1" baseline="0">
                          <a:latin typeface="+mn-lt"/>
                        </a:rPr>
                      </m:ctrlPr>
                    </m:fPr>
                    <m:num>
                      <m:r>
                        <a:rPr lang="el-GR" sz="120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𝛾</m:t>
                      </m:r>
                      <m:r>
                        <a:rPr lang="it-CH" sz="1200" b="0" i="1" baseline="3000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2</m:t>
                      </m:r>
                      <m:r>
                        <a:rPr lang="it-CH" sz="1200" b="0" i="1" baseline="0">
                          <a:latin typeface="+mn-lt"/>
                        </a:rPr>
                        <m:t>𝐶𝑜𝑠</m:t>
                      </m:r>
                      <m:r>
                        <a:rPr lang="it-CH" sz="1200" b="0" i="1" baseline="0">
                          <a:latin typeface="+mn-lt"/>
                        </a:rPr>
                        <m:t>(</m:t>
                      </m:r>
                      <m:r>
                        <a:rPr lang="el-GR" sz="1200" b="0" i="1" baseline="0">
                          <a:latin typeface="+mn-lt"/>
                        </a:rPr>
                        <m:t>𝛩</m:t>
                      </m:r>
                      <m:r>
                        <a:rPr lang="it-CH" sz="1200" b="0" i="1" baseline="-25000">
                          <a:latin typeface="+mn-lt"/>
                        </a:rPr>
                        <m:t>𝑚𝑜𝑦𝑒𝑛𝑛𝑒</m:t>
                      </m:r>
                      <m:r>
                        <a:rPr lang="it-CH" sz="1200" b="0" i="1" baseline="0">
                          <a:latin typeface="+mn-lt"/>
                        </a:rPr>
                        <m:t>)</m:t>
                      </m:r>
                      <m:r>
                        <a:rPr lang="it-CH" sz="1200" b="0" i="1" baseline="3000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2</m:t>
                      </m:r>
                    </m:num>
                    <m:den>
                      <m:r>
                        <a:rPr lang="it-CH" sz="1200" b="0" i="1" baseline="0">
                          <a:latin typeface="+mn-lt"/>
                        </a:rPr>
                        <m:t>72</m:t>
                      </m:r>
                    </m:den>
                  </m:f>
                </m:oMath>
              </a14:m>
              <a:endParaRPr lang="it-CH" sz="1200" baseline="0">
                <a:latin typeface="+mn-lt"/>
              </a:endParaRPr>
            </a:p>
          </xdr:txBody>
        </xdr:sp>
      </mc:Choice>
      <mc:Fallback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0F9D036C-BA48-0653-8282-4D87B7DE74CE}"/>
                </a:ext>
              </a:extLst>
            </xdr:cNvPr>
            <xdr:cNvSpPr txBox="1"/>
          </xdr:nvSpPr>
          <xdr:spPr>
            <a:xfrm>
              <a:off x="9173516" y="11914832"/>
              <a:ext cx="1226528" cy="347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l-GR" sz="1200" i="0">
                  <a:latin typeface="+mn-lt"/>
                </a:rPr>
                <a:t>𝛾</a:t>
              </a:r>
              <a:r>
                <a:rPr lang="it-CH" sz="1200" b="0" i="0" strike="noStrike" baseline="30000">
                  <a:latin typeface="+mn-lt"/>
                </a:rPr>
                <a:t>𝐷</a:t>
              </a:r>
              <a:r>
                <a:rPr lang="it-CH" sz="1200" b="0" i="0">
                  <a:latin typeface="+mn-lt"/>
                </a:rPr>
                <a:t>=</a:t>
              </a:r>
              <a:r>
                <a:rPr lang="it-CH" sz="1200" baseline="30000">
                  <a:latin typeface="+mn-lt"/>
                </a:rPr>
                <a:t> </a:t>
              </a:r>
              <a:r>
                <a:rPr lang="it-CH" sz="1200" i="0" baseline="0">
                  <a:latin typeface="+mn-lt"/>
                </a:rPr>
                <a:t>(</a:t>
              </a:r>
              <a:r>
                <a:rPr lang="el-GR" sz="12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𝛾</a:t>
              </a:r>
              <a:r>
                <a:rPr lang="it-CH" sz="1200" b="0" i="0" baseline="30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it-CH" sz="1200" b="0" i="0" baseline="0">
                  <a:latin typeface="+mn-lt"/>
                </a:rPr>
                <a:t>𝐶𝑜𝑠(</a:t>
              </a:r>
              <a:r>
                <a:rPr lang="el-GR" sz="1200" b="0" i="0" baseline="0">
                  <a:latin typeface="+mn-lt"/>
                </a:rPr>
                <a:t>𝛩</a:t>
              </a:r>
              <a:r>
                <a:rPr lang="it-CH" sz="1200" b="0" i="0" baseline="-25000">
                  <a:latin typeface="+mn-lt"/>
                </a:rPr>
                <a:t>𝑚𝑜𝑦𝑒𝑛𝑛𝑒</a:t>
              </a:r>
              <a:r>
                <a:rPr lang="it-CH" sz="1200" b="0" i="0" baseline="0">
                  <a:latin typeface="+mn-lt"/>
                </a:rPr>
                <a:t>)</a:t>
              </a:r>
              <a:r>
                <a:rPr lang="it-CH" sz="1200" b="0" i="0" baseline="30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it-CH" sz="12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</a:t>
              </a:r>
              <a:r>
                <a:rPr lang="it-CH" sz="1200" b="0" i="0" baseline="0">
                  <a:latin typeface="+mn-lt"/>
                </a:rPr>
                <a:t>72</a:t>
              </a:r>
              <a:endParaRPr lang="it-CH" sz="1200" baseline="0">
                <a:latin typeface="+mn-lt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w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wmf"/><Relationship Id="rId12" Type="http://schemas.openxmlformats.org/officeDocument/2006/relationships/oleObject" Target="../embeddings/oleObject4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wmf"/><Relationship Id="rId15" Type="http://schemas.openxmlformats.org/officeDocument/2006/relationships/image" Target="../media/image6.emf"/><Relationship Id="rId10" Type="http://schemas.openxmlformats.org/officeDocument/2006/relationships/oleObject" Target="../embeddings/Microsoft_Excel_97-2003_Worksheet.xls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wmf"/><Relationship Id="rId14" Type="http://schemas.openxmlformats.org/officeDocument/2006/relationships/oleObject" Target="../embeddings/oleObject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CA55A-52DD-4EF7-BBD7-D9ED2D4F83A0}">
  <dimension ref="B3:V97"/>
  <sheetViews>
    <sheetView tabSelected="1" topLeftCell="D1" zoomScale="70" zoomScaleNormal="70" workbookViewId="0">
      <selection activeCell="I38" sqref="I38:I40"/>
    </sheetView>
  </sheetViews>
  <sheetFormatPr baseColWidth="10" defaultRowHeight="15" x14ac:dyDescent="0.25"/>
  <cols>
    <col min="1" max="1" width="3.7109375" customWidth="1"/>
    <col min="2" max="3" width="30.7109375" customWidth="1"/>
    <col min="6" max="6" width="17" customWidth="1"/>
    <col min="7" max="7" width="15.28515625" customWidth="1"/>
    <col min="10" max="10" width="12.5703125" bestFit="1" customWidth="1"/>
    <col min="11" max="11" width="22.7109375" customWidth="1"/>
    <col min="12" max="12" width="27" customWidth="1"/>
    <col min="15" max="15" width="49.85546875" customWidth="1"/>
  </cols>
  <sheetData>
    <row r="3" spans="2:15" ht="15.75" thickBot="1" x14ac:dyDescent="0.3"/>
    <row r="4" spans="2:15" ht="19.5" thickBot="1" x14ac:dyDescent="0.4">
      <c r="B4" s="16" t="s">
        <v>0</v>
      </c>
      <c r="C4" s="17" t="s">
        <v>1</v>
      </c>
      <c r="D4" s="18" t="s">
        <v>26</v>
      </c>
      <c r="E4" s="18" t="s">
        <v>27</v>
      </c>
      <c r="F4" s="17" t="s">
        <v>28</v>
      </c>
      <c r="G4" s="19" t="s">
        <v>29</v>
      </c>
      <c r="I4" s="56" t="s">
        <v>49</v>
      </c>
      <c r="J4" s="56" t="s">
        <v>50</v>
      </c>
      <c r="K4" s="80" t="s">
        <v>71</v>
      </c>
      <c r="L4" s="81" t="s">
        <v>72</v>
      </c>
      <c r="M4" s="7"/>
      <c r="N4" s="1" t="s">
        <v>2</v>
      </c>
    </row>
    <row r="5" spans="2:15" x14ac:dyDescent="0.25">
      <c r="B5" s="61" t="s">
        <v>20</v>
      </c>
      <c r="C5" s="21" t="s">
        <v>30</v>
      </c>
      <c r="D5" s="23">
        <v>145.41999999999999</v>
      </c>
      <c r="E5" s="23">
        <v>147.89699999999999</v>
      </c>
      <c r="F5" s="23">
        <f>AVERAGE(D5:E5)</f>
        <v>146.6585</v>
      </c>
      <c r="G5" s="22"/>
      <c r="I5" s="57"/>
      <c r="J5" s="57"/>
      <c r="K5" s="7"/>
      <c r="L5" s="7"/>
      <c r="M5" s="7"/>
      <c r="N5" s="1" t="s">
        <v>3</v>
      </c>
    </row>
    <row r="6" spans="2:15" x14ac:dyDescent="0.25">
      <c r="B6" s="62"/>
      <c r="C6" s="12" t="s">
        <v>31</v>
      </c>
      <c r="D6" s="24">
        <v>107.81100000000001</v>
      </c>
      <c r="E6" s="24">
        <v>133.43700000000001</v>
      </c>
      <c r="F6" s="24">
        <f t="shared" ref="F6:F22" si="0">AVERAGE(D6:E6)</f>
        <v>120.62400000000001</v>
      </c>
      <c r="G6" s="8"/>
      <c r="H6" t="s">
        <v>41</v>
      </c>
      <c r="I6" s="57"/>
      <c r="J6" s="57"/>
      <c r="K6" s="7"/>
      <c r="L6" s="7"/>
      <c r="M6" s="7"/>
      <c r="N6" s="1" t="s">
        <v>4</v>
      </c>
    </row>
    <row r="7" spans="2:15" ht="15.75" thickBot="1" x14ac:dyDescent="0.3">
      <c r="B7" s="63"/>
      <c r="C7" s="20" t="s">
        <v>32</v>
      </c>
      <c r="D7" s="25">
        <v>0</v>
      </c>
      <c r="E7" s="25">
        <v>0</v>
      </c>
      <c r="F7" s="25">
        <f t="shared" si="0"/>
        <v>0</v>
      </c>
      <c r="G7" s="11"/>
      <c r="I7" s="57"/>
      <c r="J7" s="57"/>
      <c r="K7" s="7"/>
      <c r="L7" s="7"/>
      <c r="M7" s="7"/>
      <c r="N7" s="1" t="s">
        <v>5</v>
      </c>
    </row>
    <row r="8" spans="2:15" ht="27.75" customHeight="1" x14ac:dyDescent="0.25">
      <c r="B8" s="64" t="s">
        <v>21</v>
      </c>
      <c r="C8" s="21" t="s">
        <v>30</v>
      </c>
      <c r="D8" s="23">
        <v>102.121</v>
      </c>
      <c r="E8" s="23">
        <v>108.327</v>
      </c>
      <c r="F8" s="23">
        <f t="shared" si="0"/>
        <v>105.22399999999999</v>
      </c>
      <c r="G8" s="22"/>
      <c r="I8" s="57"/>
      <c r="J8" s="57"/>
      <c r="K8" s="7"/>
      <c r="L8" s="7"/>
      <c r="M8" s="7"/>
      <c r="N8" s="1"/>
    </row>
    <row r="9" spans="2:15" x14ac:dyDescent="0.25">
      <c r="B9" s="62"/>
      <c r="C9" s="12" t="s">
        <v>31</v>
      </c>
      <c r="D9" s="24">
        <v>43.040999999999997</v>
      </c>
      <c r="E9" s="24">
        <v>39.5</v>
      </c>
      <c r="F9" s="35">
        <f t="shared" si="0"/>
        <v>41.270499999999998</v>
      </c>
      <c r="G9" s="8"/>
      <c r="I9" s="57"/>
      <c r="J9" s="57"/>
      <c r="K9" s="7"/>
      <c r="L9" s="7"/>
      <c r="M9" s="7"/>
      <c r="N9" s="1"/>
    </row>
    <row r="10" spans="2:15" ht="15.75" thickBot="1" x14ac:dyDescent="0.3">
      <c r="B10" s="63"/>
      <c r="C10" s="20" t="s">
        <v>32</v>
      </c>
      <c r="D10" s="25">
        <v>62.569000000000003</v>
      </c>
      <c r="E10" s="25">
        <v>58.963000000000001</v>
      </c>
      <c r="F10" s="24">
        <f t="shared" si="0"/>
        <v>60.766000000000005</v>
      </c>
      <c r="G10" s="11"/>
      <c r="I10" s="57"/>
      <c r="J10" s="57"/>
      <c r="K10" s="7"/>
      <c r="L10" s="7"/>
      <c r="M10" s="7"/>
      <c r="N10" s="1" t="s">
        <v>6</v>
      </c>
    </row>
    <row r="11" spans="2:15" x14ac:dyDescent="0.25">
      <c r="B11" s="65" t="s">
        <v>22</v>
      </c>
      <c r="C11" s="21" t="s">
        <v>30</v>
      </c>
      <c r="D11" s="23">
        <v>35.093000000000004</v>
      </c>
      <c r="E11" s="23">
        <v>34.220999999999997</v>
      </c>
      <c r="F11" s="23">
        <f t="shared" si="0"/>
        <v>34.656999999999996</v>
      </c>
      <c r="G11" s="22"/>
      <c r="I11" s="57"/>
      <c r="J11" s="57"/>
      <c r="K11" s="7"/>
      <c r="L11" s="7"/>
      <c r="M11" s="7"/>
      <c r="N11" s="1" t="s">
        <v>7</v>
      </c>
    </row>
    <row r="12" spans="2:15" x14ac:dyDescent="0.25">
      <c r="B12" s="62"/>
      <c r="C12" s="12" t="s">
        <v>31</v>
      </c>
      <c r="D12" s="24">
        <v>55.264000000000003</v>
      </c>
      <c r="E12" s="24">
        <v>53.15</v>
      </c>
      <c r="F12" s="35">
        <f t="shared" si="0"/>
        <v>54.207000000000001</v>
      </c>
      <c r="G12" s="8"/>
      <c r="I12" s="57"/>
      <c r="J12" s="57"/>
      <c r="K12" s="7"/>
      <c r="L12" s="7"/>
      <c r="M12" s="7"/>
    </row>
    <row r="13" spans="2:15" ht="15.75" thickBot="1" x14ac:dyDescent="0.3">
      <c r="B13" s="63"/>
      <c r="C13" s="20" t="s">
        <v>32</v>
      </c>
      <c r="D13" s="25">
        <v>13.866</v>
      </c>
      <c r="E13" s="25">
        <v>14.484999999999999</v>
      </c>
      <c r="F13" s="24">
        <f t="shared" si="0"/>
        <v>14.1755</v>
      </c>
      <c r="G13" s="11"/>
      <c r="I13" s="57"/>
      <c r="J13" s="57"/>
      <c r="K13" s="7"/>
      <c r="L13" s="7"/>
      <c r="M13" s="7"/>
      <c r="O13" s="2" t="s">
        <v>9</v>
      </c>
    </row>
    <row r="14" spans="2:15" x14ac:dyDescent="0.25">
      <c r="B14" s="66" t="s">
        <v>23</v>
      </c>
      <c r="C14" s="29" t="s">
        <v>30</v>
      </c>
      <c r="D14" s="30">
        <v>141.70099999999999</v>
      </c>
      <c r="E14" s="30">
        <v>144.78200000000001</v>
      </c>
      <c r="F14" s="23">
        <f t="shared" si="0"/>
        <v>143.2415</v>
      </c>
      <c r="G14" s="31"/>
      <c r="I14" s="57"/>
      <c r="J14" s="57"/>
      <c r="K14" s="7"/>
      <c r="L14" s="7"/>
      <c r="M14" s="7"/>
      <c r="O14" s="2" t="s">
        <v>8</v>
      </c>
    </row>
    <row r="15" spans="2:15" x14ac:dyDescent="0.25">
      <c r="B15" s="67"/>
      <c r="C15" s="28" t="s">
        <v>31</v>
      </c>
      <c r="D15" s="26">
        <v>0</v>
      </c>
      <c r="E15" s="26">
        <v>0</v>
      </c>
      <c r="F15" s="35">
        <f t="shared" si="0"/>
        <v>0</v>
      </c>
      <c r="G15" s="27"/>
      <c r="I15" s="57"/>
      <c r="J15" s="57"/>
      <c r="K15" s="7"/>
      <c r="L15" s="7"/>
      <c r="M15" s="7"/>
    </row>
    <row r="16" spans="2:15" ht="30.75" thickBot="1" x14ac:dyDescent="0.3">
      <c r="B16" s="68"/>
      <c r="C16" s="32" t="s">
        <v>32</v>
      </c>
      <c r="D16" s="33">
        <v>31.939</v>
      </c>
      <c r="E16" s="33">
        <v>33</v>
      </c>
      <c r="F16" s="24">
        <f t="shared" si="0"/>
        <v>32.469499999999996</v>
      </c>
      <c r="G16" s="34"/>
      <c r="I16" s="57"/>
      <c r="J16" s="57"/>
      <c r="K16" s="7" t="s">
        <v>80</v>
      </c>
      <c r="L16" s="7"/>
      <c r="M16" s="7"/>
      <c r="O16" s="6" t="s">
        <v>17</v>
      </c>
    </row>
    <row r="17" spans="2:15" ht="31.5" customHeight="1" x14ac:dyDescent="0.25">
      <c r="B17" s="69" t="s">
        <v>35</v>
      </c>
      <c r="C17" s="21" t="s">
        <v>30</v>
      </c>
      <c r="D17" s="23">
        <v>89.009</v>
      </c>
      <c r="E17" s="23">
        <v>89.697000000000003</v>
      </c>
      <c r="F17" s="23">
        <f t="shared" si="0"/>
        <v>89.353000000000009</v>
      </c>
      <c r="G17" s="40">
        <f>COS(RADIANS(F17))</f>
        <v>1.1292040271630178E-2</v>
      </c>
      <c r="H17">
        <f>0.0728*1000</f>
        <v>72.8</v>
      </c>
      <c r="I17" s="59">
        <f>(((G17+1)/2)^2)*H17</f>
        <v>18.613350951044964</v>
      </c>
      <c r="J17" s="89">
        <f>AVERAGE(I17:I19)</f>
        <v>20.471307314019132</v>
      </c>
      <c r="K17" s="92">
        <f>_xlfn.STDEV.S(I17:I19)</f>
        <v>2.9166070869416609</v>
      </c>
      <c r="L17" s="24"/>
      <c r="M17" s="24"/>
      <c r="O17" s="6" t="s">
        <v>10</v>
      </c>
    </row>
    <row r="18" spans="2:15" x14ac:dyDescent="0.25">
      <c r="B18" s="62"/>
      <c r="C18" s="12" t="s">
        <v>31</v>
      </c>
      <c r="D18" s="24">
        <v>69.316000000000003</v>
      </c>
      <c r="E18" s="24">
        <v>67.266000000000005</v>
      </c>
      <c r="F18" s="24">
        <f t="shared" si="0"/>
        <v>68.290999999999997</v>
      </c>
      <c r="G18" s="38">
        <f t="shared" ref="G18:G19" si="1">COS(RADIANS(F18))</f>
        <v>0.36989270051470852</v>
      </c>
      <c r="H18">
        <f>0.0508*1000</f>
        <v>50.8</v>
      </c>
      <c r="I18" s="57">
        <f t="shared" ref="I18:I40" si="2">(((G18+1)/2)^2)*H18</f>
        <v>23.832896338728208</v>
      </c>
      <c r="J18" s="90"/>
      <c r="K18" s="24"/>
      <c r="L18" s="24"/>
      <c r="M18" s="24"/>
      <c r="O18" s="4" t="s">
        <v>11</v>
      </c>
    </row>
    <row r="19" spans="2:15" ht="15.75" thickBot="1" x14ac:dyDescent="0.3">
      <c r="B19" s="63"/>
      <c r="C19" s="20" t="s">
        <v>32</v>
      </c>
      <c r="D19" s="25">
        <v>30.579000000000001</v>
      </c>
      <c r="E19" s="25">
        <v>27.526</v>
      </c>
      <c r="F19" s="25">
        <f t="shared" si="0"/>
        <v>29.052500000000002</v>
      </c>
      <c r="G19" s="37">
        <f t="shared" si="1"/>
        <v>0.87417511001923132</v>
      </c>
      <c r="H19">
        <f>0.0216*1000</f>
        <v>21.6</v>
      </c>
      <c r="I19" s="58">
        <f t="shared" si="2"/>
        <v>18.967674652284227</v>
      </c>
      <c r="J19" s="91"/>
      <c r="K19" s="24"/>
      <c r="L19" s="24"/>
      <c r="M19" s="24"/>
      <c r="O19" s="4" t="s">
        <v>12</v>
      </c>
    </row>
    <row r="20" spans="2:15" ht="30" customHeight="1" thickBot="1" x14ac:dyDescent="0.3">
      <c r="B20" s="69" t="s">
        <v>34</v>
      </c>
      <c r="C20" s="21" t="s">
        <v>30</v>
      </c>
      <c r="D20" s="23">
        <v>89.397000000000006</v>
      </c>
      <c r="E20" s="23">
        <v>90.278999999999996</v>
      </c>
      <c r="F20" s="23">
        <f t="shared" si="0"/>
        <v>89.837999999999994</v>
      </c>
      <c r="G20" s="39">
        <f>COS(RADIANS(F20))</f>
        <v>2.8274296209699437E-3</v>
      </c>
      <c r="H20">
        <f>0.0728*1000</f>
        <v>72.8</v>
      </c>
      <c r="I20" s="59">
        <f t="shared" si="2"/>
        <v>18.303063935523671</v>
      </c>
      <c r="J20" s="89">
        <f>AVERAGE(I20:I22)</f>
        <v>19.528381464412838</v>
      </c>
      <c r="K20" s="24"/>
      <c r="L20" s="24"/>
      <c r="M20" s="24"/>
      <c r="O20" s="4" t="s">
        <v>13</v>
      </c>
    </row>
    <row r="21" spans="2:15" ht="25.5" customHeight="1" thickBot="1" x14ac:dyDescent="0.3">
      <c r="B21" s="62"/>
      <c r="C21" s="12" t="s">
        <v>31</v>
      </c>
      <c r="D21" s="43">
        <v>77.606999999999999</v>
      </c>
      <c r="E21" s="44">
        <v>65.932000000000002</v>
      </c>
      <c r="F21" s="45">
        <f t="shared" si="0"/>
        <v>71.769499999999994</v>
      </c>
      <c r="G21" s="38">
        <f t="shared" ref="G21:G40" si="3">COS(RADIANS(F21))</f>
        <v>0.31284056850820363</v>
      </c>
      <c r="H21">
        <f>0.0508*1000</f>
        <v>50.8</v>
      </c>
      <c r="I21" s="57">
        <f t="shared" si="2"/>
        <v>21.88908955067598</v>
      </c>
      <c r="J21" s="90"/>
      <c r="K21" s="24"/>
      <c r="L21" s="24"/>
      <c r="M21" s="24"/>
      <c r="O21" s="5" t="s">
        <v>16</v>
      </c>
    </row>
    <row r="22" spans="2:15" ht="15.75" thickBot="1" x14ac:dyDescent="0.3">
      <c r="B22" s="63"/>
      <c r="C22" s="20" t="s">
        <v>32</v>
      </c>
      <c r="D22" s="25">
        <v>32.143999999999998</v>
      </c>
      <c r="E22" s="25">
        <v>32.390999999999998</v>
      </c>
      <c r="F22" s="25">
        <f t="shared" si="0"/>
        <v>32.267499999999998</v>
      </c>
      <c r="G22" s="37">
        <f t="shared" si="3"/>
        <v>0.84556479897873504</v>
      </c>
      <c r="H22">
        <f>0.0216*1000</f>
        <v>21.6</v>
      </c>
      <c r="I22" s="58">
        <f t="shared" si="2"/>
        <v>18.392990907038865</v>
      </c>
      <c r="J22" s="91"/>
      <c r="K22" s="92">
        <f>_xlfn.STDEV.S(I20:I22)</f>
        <v>2.044927557754213</v>
      </c>
      <c r="L22" s="24"/>
      <c r="M22" s="24"/>
      <c r="O22" t="s">
        <v>15</v>
      </c>
    </row>
    <row r="23" spans="2:15" ht="30" x14ac:dyDescent="0.25">
      <c r="B23" s="64" t="s">
        <v>37</v>
      </c>
      <c r="C23" s="21" t="s">
        <v>30</v>
      </c>
      <c r="D23" s="23">
        <v>33.246000000000002</v>
      </c>
      <c r="E23" s="23">
        <v>30.658000000000001</v>
      </c>
      <c r="F23" s="23">
        <f>AVERAGE(D23:E23)</f>
        <v>31.952000000000002</v>
      </c>
      <c r="G23" s="40"/>
      <c r="I23" s="59"/>
      <c r="J23" s="60"/>
      <c r="K23" s="24"/>
      <c r="L23" s="24"/>
      <c r="M23" s="24"/>
      <c r="O23" t="s">
        <v>14</v>
      </c>
    </row>
    <row r="24" spans="2:15" x14ac:dyDescent="0.25">
      <c r="B24" s="62"/>
      <c r="C24" s="12" t="s">
        <v>31</v>
      </c>
      <c r="D24" s="24">
        <v>41.777000000000001</v>
      </c>
      <c r="E24" s="24">
        <v>42.087000000000003</v>
      </c>
      <c r="F24" s="24">
        <f t="shared" ref="F24:F43" si="4">AVERAGE(D24:E24)</f>
        <v>41.932000000000002</v>
      </c>
      <c r="G24" s="38"/>
      <c r="I24" s="57"/>
      <c r="J24" s="60"/>
      <c r="K24" s="24"/>
      <c r="L24" s="24"/>
      <c r="M24" s="24"/>
    </row>
    <row r="25" spans="2:15" ht="15.75" thickBot="1" x14ac:dyDescent="0.3">
      <c r="B25" s="63"/>
      <c r="C25" s="20" t="s">
        <v>32</v>
      </c>
      <c r="D25" s="25">
        <v>19.152000000000001</v>
      </c>
      <c r="E25" s="25">
        <v>23.896000000000001</v>
      </c>
      <c r="F25" s="25">
        <f t="shared" si="4"/>
        <v>21.524000000000001</v>
      </c>
      <c r="G25" s="37"/>
      <c r="I25" s="58"/>
      <c r="J25" s="60"/>
      <c r="K25" s="24"/>
      <c r="L25" s="24"/>
      <c r="M25" s="24"/>
    </row>
    <row r="26" spans="2:15" ht="30" x14ac:dyDescent="0.25">
      <c r="B26" s="64" t="s">
        <v>36</v>
      </c>
      <c r="C26" s="21" t="s">
        <v>30</v>
      </c>
      <c r="D26" s="23">
        <v>13.801</v>
      </c>
      <c r="E26" s="23">
        <v>15.781000000000001</v>
      </c>
      <c r="F26" s="23">
        <f t="shared" si="4"/>
        <v>14.791</v>
      </c>
      <c r="G26" s="40"/>
      <c r="I26" s="59"/>
      <c r="J26" s="60"/>
      <c r="K26" s="24"/>
      <c r="L26" s="24"/>
      <c r="M26" s="24"/>
    </row>
    <row r="27" spans="2:15" x14ac:dyDescent="0.25">
      <c r="B27" s="62"/>
      <c r="C27" s="12" t="s">
        <v>31</v>
      </c>
      <c r="D27" s="24">
        <v>27.48</v>
      </c>
      <c r="E27" s="24">
        <v>26.581</v>
      </c>
      <c r="F27" s="24">
        <f t="shared" si="4"/>
        <v>27.0305</v>
      </c>
      <c r="G27" s="38"/>
      <c r="I27" s="57"/>
      <c r="J27" s="60"/>
      <c r="K27" s="24"/>
      <c r="L27" s="24"/>
      <c r="M27" s="24"/>
    </row>
    <row r="28" spans="2:15" ht="16.5" customHeight="1" thickBot="1" x14ac:dyDescent="0.3">
      <c r="B28" s="63"/>
      <c r="C28" s="20" t="s">
        <v>32</v>
      </c>
      <c r="D28" s="25">
        <v>12.724</v>
      </c>
      <c r="E28" s="25">
        <v>16.658000000000001</v>
      </c>
      <c r="F28" s="25">
        <f t="shared" si="4"/>
        <v>14.691000000000001</v>
      </c>
      <c r="G28" s="37"/>
      <c r="I28" s="58"/>
      <c r="J28" s="60"/>
      <c r="K28" s="24"/>
      <c r="L28" s="24"/>
      <c r="M28" s="24"/>
      <c r="O28" s="3" t="s">
        <v>18</v>
      </c>
    </row>
    <row r="29" spans="2:15" ht="46.5" customHeight="1" x14ac:dyDescent="0.25">
      <c r="B29" s="69" t="s">
        <v>38</v>
      </c>
      <c r="C29" s="21" t="s">
        <v>30</v>
      </c>
      <c r="D29" s="23">
        <v>90.355999999999995</v>
      </c>
      <c r="E29" s="23">
        <v>88.031000000000006</v>
      </c>
      <c r="F29" s="23">
        <f t="shared" si="4"/>
        <v>89.1935</v>
      </c>
      <c r="G29" s="40">
        <f t="shared" si="3"/>
        <v>1.4075615592134104E-2</v>
      </c>
      <c r="H29">
        <f>0.0728*1000</f>
        <v>72.8</v>
      </c>
      <c r="I29" s="59">
        <f t="shared" si="2"/>
        <v>18.715958245321893</v>
      </c>
      <c r="J29" s="89">
        <f t="shared" ref="J29" si="5">AVERAGE(I29:I31)</f>
        <v>17.931232938772411</v>
      </c>
      <c r="K29" s="24"/>
      <c r="L29" s="24"/>
      <c r="M29" s="24"/>
    </row>
    <row r="30" spans="2:15" x14ac:dyDescent="0.25">
      <c r="B30" s="62"/>
      <c r="C30" s="12" t="s">
        <v>31</v>
      </c>
      <c r="D30" s="24">
        <v>73.319999999999993</v>
      </c>
      <c r="E30" s="24">
        <v>76.674999999999997</v>
      </c>
      <c r="F30" s="24">
        <f t="shared" si="4"/>
        <v>74.997500000000002</v>
      </c>
      <c r="G30" s="38">
        <f t="shared" si="3"/>
        <v>0.25886119132112689</v>
      </c>
      <c r="H30">
        <f>0.0508*1000</f>
        <v>50.8</v>
      </c>
      <c r="I30" s="57">
        <f t="shared" si="2"/>
        <v>20.126090037483475</v>
      </c>
      <c r="J30" s="90"/>
      <c r="K30" s="24"/>
      <c r="L30" s="24"/>
      <c r="M30" s="24"/>
    </row>
    <row r="31" spans="2:15" ht="15.75" thickBot="1" x14ac:dyDescent="0.3">
      <c r="B31" s="63"/>
      <c r="C31" s="20" t="s">
        <v>32</v>
      </c>
      <c r="D31" s="25">
        <v>47.045000000000002</v>
      </c>
      <c r="E31" s="25">
        <v>49.747</v>
      </c>
      <c r="F31" s="25">
        <f t="shared" si="4"/>
        <v>48.396000000000001</v>
      </c>
      <c r="G31" s="37">
        <f t="shared" si="3"/>
        <v>0.66397841718952855</v>
      </c>
      <c r="H31">
        <f>0.0216*1000</f>
        <v>21.6</v>
      </c>
      <c r="I31" s="58">
        <f t="shared" si="2"/>
        <v>14.95165053351187</v>
      </c>
      <c r="J31" s="91"/>
      <c r="K31" s="92">
        <f>_xlfn.STDEV.S(I29:I31)</f>
        <v>2.6749862429776941</v>
      </c>
      <c r="L31" s="24"/>
      <c r="M31" s="24"/>
    </row>
    <row r="32" spans="2:15" ht="44.25" customHeight="1" x14ac:dyDescent="0.25">
      <c r="B32" s="70" t="s">
        <v>39</v>
      </c>
      <c r="C32" s="14" t="s">
        <v>30</v>
      </c>
      <c r="D32" s="24">
        <v>92.221999999999994</v>
      </c>
      <c r="E32" s="24">
        <v>90.012</v>
      </c>
      <c r="F32" s="24">
        <f t="shared" si="4"/>
        <v>91.11699999999999</v>
      </c>
      <c r="G32" s="38">
        <f t="shared" si="3"/>
        <v>-1.9494092843843645E-2</v>
      </c>
      <c r="H32">
        <f>0.0728*1000</f>
        <v>72.8</v>
      </c>
      <c r="I32" s="59">
        <f t="shared" si="2"/>
        <v>17.49733137821973</v>
      </c>
      <c r="J32" s="89">
        <f t="shared" ref="J32" si="6">AVERAGE(I32:I34)</f>
        <v>18.584847084085013</v>
      </c>
      <c r="K32" s="24"/>
      <c r="L32" s="24"/>
      <c r="M32" s="24"/>
    </row>
    <row r="33" spans="2:15" x14ac:dyDescent="0.25">
      <c r="B33" s="71"/>
      <c r="C33" s="12" t="s">
        <v>31</v>
      </c>
      <c r="D33" s="41">
        <v>75.58</v>
      </c>
      <c r="E33" s="41">
        <v>67.906000000000006</v>
      </c>
      <c r="F33" s="42">
        <f t="shared" si="4"/>
        <v>71.742999999999995</v>
      </c>
      <c r="G33" s="38">
        <f t="shared" si="3"/>
        <v>0.31327983178286861</v>
      </c>
      <c r="H33">
        <f>0.0508*1000</f>
        <v>50.8</v>
      </c>
      <c r="I33" s="57">
        <f t="shared" si="2"/>
        <v>21.903739740409026</v>
      </c>
      <c r="J33" s="90"/>
      <c r="K33" s="24"/>
      <c r="L33" s="24"/>
      <c r="M33" s="24"/>
    </row>
    <row r="34" spans="2:15" ht="15.75" customHeight="1" thickBot="1" x14ac:dyDescent="0.3">
      <c r="B34" s="71"/>
      <c r="C34" s="13" t="s">
        <v>32</v>
      </c>
      <c r="D34" s="41">
        <v>42.38</v>
      </c>
      <c r="E34" s="41">
        <v>42.116999999999997</v>
      </c>
      <c r="F34" s="41">
        <f t="shared" si="4"/>
        <v>42.2485</v>
      </c>
      <c r="G34" s="38">
        <f t="shared" si="3"/>
        <v>0.74023572975501761</v>
      </c>
      <c r="H34">
        <f>0.0216*1000</f>
        <v>21.6</v>
      </c>
      <c r="I34" s="58">
        <f t="shared" si="2"/>
        <v>16.353470133626285</v>
      </c>
      <c r="J34" s="91"/>
      <c r="K34" s="92">
        <f t="shared" ref="K32:K34" si="7">_xlfn.STDEV.S(I32:I34)</f>
        <v>2.9305956706567025</v>
      </c>
      <c r="L34" s="24"/>
      <c r="M34" s="24"/>
    </row>
    <row r="35" spans="2:15" x14ac:dyDescent="0.25">
      <c r="B35" s="65" t="s">
        <v>24</v>
      </c>
      <c r="C35" s="21" t="s">
        <v>30</v>
      </c>
      <c r="D35" s="23">
        <v>65.924999999999997</v>
      </c>
      <c r="E35" s="23">
        <v>63.817</v>
      </c>
      <c r="F35" s="23">
        <f t="shared" si="4"/>
        <v>64.870999999999995</v>
      </c>
      <c r="G35" s="40"/>
      <c r="I35" s="59"/>
      <c r="J35" s="60"/>
      <c r="K35" s="24"/>
      <c r="L35" s="24"/>
      <c r="M35" s="24"/>
    </row>
    <row r="36" spans="2:15" ht="25.5" customHeight="1" x14ac:dyDescent="0.25">
      <c r="B36" s="62"/>
      <c r="C36" s="12" t="s">
        <v>31</v>
      </c>
      <c r="D36" s="24">
        <v>25.777999999999999</v>
      </c>
      <c r="E36" s="24">
        <v>23.199000000000002</v>
      </c>
      <c r="F36" s="35">
        <f t="shared" si="4"/>
        <v>24.488500000000002</v>
      </c>
      <c r="G36" s="38"/>
      <c r="I36" s="57"/>
      <c r="J36" s="60"/>
      <c r="K36" s="24"/>
      <c r="L36" s="24"/>
      <c r="M36" s="24"/>
      <c r="O36" s="3" t="s">
        <v>19</v>
      </c>
    </row>
    <row r="37" spans="2:15" ht="28.5" customHeight="1" thickBot="1" x14ac:dyDescent="0.3">
      <c r="B37" s="63"/>
      <c r="C37" s="20" t="s">
        <v>32</v>
      </c>
      <c r="D37" s="25">
        <v>13.443</v>
      </c>
      <c r="E37" s="25">
        <v>11.07</v>
      </c>
      <c r="F37" s="25">
        <f t="shared" si="4"/>
        <v>12.256499999999999</v>
      </c>
      <c r="G37" s="37"/>
      <c r="I37" s="58"/>
      <c r="J37" s="60"/>
      <c r="K37" s="24"/>
      <c r="L37" s="24"/>
      <c r="M37" s="24"/>
      <c r="O37" s="3" t="s">
        <v>33</v>
      </c>
    </row>
    <row r="38" spans="2:15" x14ac:dyDescent="0.25">
      <c r="B38" s="72" t="s">
        <v>25</v>
      </c>
      <c r="C38" s="14" t="s">
        <v>30</v>
      </c>
      <c r="D38" s="24">
        <v>105.271</v>
      </c>
      <c r="E38" s="24">
        <v>101.82599999999999</v>
      </c>
      <c r="F38" s="24">
        <f t="shared" si="4"/>
        <v>103.54849999999999</v>
      </c>
      <c r="G38" s="38">
        <f t="shared" si="3"/>
        <v>-0.23426837636949951</v>
      </c>
      <c r="H38">
        <f>0.0728*1000</f>
        <v>72.8</v>
      </c>
      <c r="I38" s="59">
        <f t="shared" si="2"/>
        <v>10.671477533586005</v>
      </c>
      <c r="J38" s="87">
        <f>AVERAGE(I38:I40)</f>
        <v>16.149054767856434</v>
      </c>
      <c r="K38" s="82">
        <f>((H38^2)*(((G38+1)^2)))/72</f>
        <v>43.160198024725617</v>
      </c>
      <c r="L38" s="83">
        <f>H38-K38</f>
        <v>29.639801975274381</v>
      </c>
    </row>
    <row r="39" spans="2:15" x14ac:dyDescent="0.25">
      <c r="B39" s="62"/>
      <c r="C39" s="12" t="s">
        <v>31</v>
      </c>
      <c r="D39" s="24">
        <v>73.06</v>
      </c>
      <c r="E39" s="24">
        <v>75.891999999999996</v>
      </c>
      <c r="F39" s="24">
        <f t="shared" si="4"/>
        <v>74.475999999999999</v>
      </c>
      <c r="G39" s="38">
        <f t="shared" si="3"/>
        <v>0.26764199720202303</v>
      </c>
      <c r="H39">
        <f>0.0508*1000</f>
        <v>50.8</v>
      </c>
      <c r="I39" s="57">
        <f t="shared" si="2"/>
        <v>20.407836159993238</v>
      </c>
      <c r="J39" s="9"/>
      <c r="K39" s="15">
        <f t="shared" ref="K39:K40" si="8">((H39^2)*(((G39+1)^2)))/72</f>
        <v>57.595448718203137</v>
      </c>
      <c r="L39" s="84">
        <f t="shared" ref="L39:L40" si="9">H39-K39</f>
        <v>-6.79544871820314</v>
      </c>
    </row>
    <row r="40" spans="2:15" ht="15.75" thickBot="1" x14ac:dyDescent="0.3">
      <c r="B40" s="63"/>
      <c r="C40" s="20" t="s">
        <v>32</v>
      </c>
      <c r="D40" s="25">
        <v>39.287999999999997</v>
      </c>
      <c r="E40" s="25">
        <v>35.704000000000001</v>
      </c>
      <c r="F40" s="24">
        <f t="shared" si="4"/>
        <v>37.495999999999995</v>
      </c>
      <c r="G40" s="38">
        <f t="shared" si="3"/>
        <v>0.79339583792302815</v>
      </c>
      <c r="H40">
        <f>0.0216*1000</f>
        <v>21.6</v>
      </c>
      <c r="I40" s="58">
        <f t="shared" si="2"/>
        <v>17.367850609990057</v>
      </c>
      <c r="J40" s="10"/>
      <c r="K40" s="85">
        <f t="shared" si="8"/>
        <v>20.84142073198807</v>
      </c>
      <c r="L40" s="86">
        <f t="shared" si="9"/>
        <v>0.75857926801193187</v>
      </c>
    </row>
    <row r="41" spans="2:15" x14ac:dyDescent="0.25">
      <c r="B41" s="65" t="s">
        <v>40</v>
      </c>
      <c r="C41" s="21" t="s">
        <v>30</v>
      </c>
      <c r="D41" s="23">
        <v>80.451999999999998</v>
      </c>
      <c r="E41" s="23">
        <v>78.838999999999999</v>
      </c>
      <c r="F41" s="23">
        <f t="shared" si="4"/>
        <v>79.645499999999998</v>
      </c>
      <c r="G41" s="22"/>
      <c r="I41" s="57"/>
      <c r="J41" s="57"/>
      <c r="K41" s="7"/>
      <c r="L41" s="7"/>
      <c r="M41" s="7"/>
    </row>
    <row r="42" spans="2:15" x14ac:dyDescent="0.25">
      <c r="B42" s="67"/>
      <c r="C42" s="12" t="s">
        <v>31</v>
      </c>
      <c r="D42" s="24">
        <v>52.255000000000003</v>
      </c>
      <c r="E42" s="24">
        <v>50.271000000000001</v>
      </c>
      <c r="F42" s="35">
        <f t="shared" si="4"/>
        <v>51.263000000000005</v>
      </c>
      <c r="G42" s="8"/>
      <c r="I42" s="57"/>
      <c r="J42" s="57"/>
      <c r="K42" s="7" t="s">
        <v>81</v>
      </c>
      <c r="L42" s="7"/>
      <c r="M42" s="7"/>
    </row>
    <row r="43" spans="2:15" ht="15.75" thickBot="1" x14ac:dyDescent="0.3">
      <c r="B43" s="68"/>
      <c r="C43" s="20" t="s">
        <v>32</v>
      </c>
      <c r="D43" s="25">
        <v>22.216000000000001</v>
      </c>
      <c r="E43" s="25">
        <v>23.140999999999998</v>
      </c>
      <c r="F43" s="36">
        <f t="shared" si="4"/>
        <v>22.6785</v>
      </c>
      <c r="G43" s="11"/>
      <c r="I43" s="58"/>
      <c r="J43" s="58"/>
      <c r="K43" s="92">
        <f>_xlfn.STDEV.S(I38:I40)</f>
        <v>4.9812917304756699</v>
      </c>
      <c r="L43" s="7"/>
      <c r="M43" s="7"/>
    </row>
    <row r="48" spans="2:15" x14ac:dyDescent="0.25">
      <c r="N48" t="s">
        <v>42</v>
      </c>
      <c r="O48" t="s">
        <v>43</v>
      </c>
    </row>
    <row r="49" spans="12:22" x14ac:dyDescent="0.25">
      <c r="N49">
        <f>SLOPE(G38:G40,H38:H40)</f>
        <v>-1.9961811822753528E-2</v>
      </c>
      <c r="O49">
        <f>INTERCEPT(G38:G40,H38:H40)</f>
        <v>1.2417415118064545</v>
      </c>
    </row>
    <row r="51" spans="12:22" ht="15.75" thickBot="1" x14ac:dyDescent="0.3"/>
    <row r="52" spans="12:22" ht="15.75" thickBot="1" x14ac:dyDescent="0.3">
      <c r="L52" s="88" t="s">
        <v>75</v>
      </c>
      <c r="N52" s="46">
        <f>(1-O49)/N49</f>
        <v>12.110198911448748</v>
      </c>
      <c r="O52" s="47" t="s">
        <v>48</v>
      </c>
    </row>
    <row r="53" spans="12:22" x14ac:dyDescent="0.25">
      <c r="L53" t="s">
        <v>76</v>
      </c>
    </row>
    <row r="55" spans="12:22" ht="17.25" x14ac:dyDescent="0.25">
      <c r="R55" s="73" t="s">
        <v>51</v>
      </c>
    </row>
    <row r="56" spans="12:22" x14ac:dyDescent="0.25">
      <c r="R56" s="73" t="s">
        <v>52</v>
      </c>
    </row>
    <row r="57" spans="12:22" x14ac:dyDescent="0.25">
      <c r="R57" s="73"/>
    </row>
    <row r="58" spans="12:22" x14ac:dyDescent="0.25">
      <c r="R58" s="73" t="s">
        <v>53</v>
      </c>
    </row>
    <row r="60" spans="12:22" ht="18" x14ac:dyDescent="0.25">
      <c r="R60" s="73" t="s">
        <v>54</v>
      </c>
    </row>
    <row r="61" spans="12:22" x14ac:dyDescent="0.25">
      <c r="R61" s="73"/>
    </row>
    <row r="62" spans="12:22" ht="15.75" thickBot="1" x14ac:dyDescent="0.3">
      <c r="R62" s="73" t="s">
        <v>55</v>
      </c>
    </row>
    <row r="63" spans="12:22" ht="48.75" thickBot="1" x14ac:dyDescent="0.3">
      <c r="R63" s="74" t="s">
        <v>56</v>
      </c>
      <c r="S63" s="75" t="s">
        <v>57</v>
      </c>
      <c r="T63" s="76" t="s">
        <v>58</v>
      </c>
      <c r="U63" s="75" t="s">
        <v>59</v>
      </c>
      <c r="V63" s="75" t="s">
        <v>60</v>
      </c>
    </row>
    <row r="64" spans="12:22" ht="15.75" thickBot="1" x14ac:dyDescent="0.3">
      <c r="R64" s="77" t="s">
        <v>61</v>
      </c>
      <c r="S64" s="78">
        <v>33</v>
      </c>
      <c r="T64" s="78" t="s">
        <v>62</v>
      </c>
      <c r="U64" s="79"/>
      <c r="V64" s="79"/>
    </row>
    <row r="65" spans="12:22" ht="15.75" thickBot="1" x14ac:dyDescent="0.3">
      <c r="R65" s="77" t="s">
        <v>63</v>
      </c>
      <c r="S65" s="78">
        <v>58.2</v>
      </c>
      <c r="T65" s="78" t="s">
        <v>64</v>
      </c>
      <c r="U65" s="79"/>
      <c r="V65" s="79"/>
    </row>
    <row r="66" spans="12:22" ht="30.75" thickBot="1" x14ac:dyDescent="0.3">
      <c r="R66" s="77" t="s">
        <v>65</v>
      </c>
      <c r="S66" s="78">
        <v>79.02</v>
      </c>
      <c r="T66" s="78" t="s">
        <v>66</v>
      </c>
      <c r="U66" s="79"/>
      <c r="V66" s="79"/>
    </row>
    <row r="67" spans="12:22" ht="15.75" thickBot="1" x14ac:dyDescent="0.3">
      <c r="N67" t="s">
        <v>44</v>
      </c>
      <c r="O67" t="s">
        <v>45</v>
      </c>
      <c r="R67" s="77" t="s">
        <v>67</v>
      </c>
      <c r="S67" s="78">
        <v>107.2</v>
      </c>
      <c r="T67" s="78" t="s">
        <v>68</v>
      </c>
      <c r="U67" s="79"/>
      <c r="V67" s="79"/>
    </row>
    <row r="68" spans="12:22" ht="15.75" thickBot="1" x14ac:dyDescent="0.3">
      <c r="N68">
        <f>SLOPE(G17:G19,H17:H19)</f>
        <v>-1.6875321886863574E-2</v>
      </c>
      <c r="O68">
        <f>INTERCEPT(G17:G19,H17:H19)</f>
        <v>1.2352188629260537</v>
      </c>
      <c r="R68" s="77" t="s">
        <v>69</v>
      </c>
      <c r="S68" s="78">
        <v>113.7</v>
      </c>
      <c r="T68" s="78" t="s">
        <v>70</v>
      </c>
      <c r="U68" s="79"/>
      <c r="V68" s="79"/>
    </row>
    <row r="69" spans="12:22" ht="15.75" thickBot="1" x14ac:dyDescent="0.3"/>
    <row r="70" spans="12:22" ht="15.75" thickBot="1" x14ac:dyDescent="0.3">
      <c r="L70" s="88" t="s">
        <v>74</v>
      </c>
      <c r="N70" s="48">
        <f>(1-O68)/N68</f>
        <v>13.938629704548475</v>
      </c>
      <c r="O70" s="49"/>
    </row>
    <row r="72" spans="12:22" x14ac:dyDescent="0.25">
      <c r="N72" t="s">
        <v>46</v>
      </c>
      <c r="O72" t="s">
        <v>47</v>
      </c>
    </row>
    <row r="73" spans="12:22" x14ac:dyDescent="0.25">
      <c r="N73">
        <f>SLOPE(G20:G22,H20:H22)</f>
        <v>-1.6554488513717824E-2</v>
      </c>
      <c r="O73">
        <f>INTERCEPT(G20:G22,H20:H22)</f>
        <v>1.1883148430999122</v>
      </c>
    </row>
    <row r="74" spans="12:22" ht="15.75" thickBot="1" x14ac:dyDescent="0.3"/>
    <row r="75" spans="12:22" ht="15.75" thickBot="1" x14ac:dyDescent="0.3">
      <c r="L75" s="88" t="s">
        <v>73</v>
      </c>
      <c r="N75" s="50">
        <f>(1-O73)/N73</f>
        <v>11.375455239457606</v>
      </c>
      <c r="O75" s="51"/>
    </row>
    <row r="89" spans="11:15" x14ac:dyDescent="0.25">
      <c r="N89" t="s">
        <v>44</v>
      </c>
      <c r="O89" t="s">
        <v>45</v>
      </c>
    </row>
    <row r="90" spans="11:15" x14ac:dyDescent="0.25">
      <c r="K90" t="s">
        <v>79</v>
      </c>
      <c r="L90" s="88" t="s">
        <v>78</v>
      </c>
      <c r="N90">
        <f>SLOPE(G29:G31,H29:H31)</f>
        <v>-1.2756116375409738E-2</v>
      </c>
      <c r="O90">
        <f>INTERCEPT(G29:G31,H29:H31)</f>
        <v>0.92970110727076127</v>
      </c>
    </row>
    <row r="91" spans="11:15" ht="15.75" thickBot="1" x14ac:dyDescent="0.3"/>
    <row r="92" spans="11:15" ht="15.75" thickBot="1" x14ac:dyDescent="0.3">
      <c r="N92" s="54">
        <f>(1-O90)/N90</f>
        <v>-5.510994934536309</v>
      </c>
      <c r="O92" s="55"/>
    </row>
    <row r="94" spans="11:15" x14ac:dyDescent="0.25">
      <c r="N94" t="s">
        <v>46</v>
      </c>
      <c r="O94" t="s">
        <v>47</v>
      </c>
    </row>
    <row r="95" spans="11:15" x14ac:dyDescent="0.25">
      <c r="N95">
        <f>SLOPE(G32:G34,H32:H34)</f>
        <v>-1.4826962941536334E-2</v>
      </c>
      <c r="O95">
        <f>INTERCEPT(G32:G34,H32:H34)</f>
        <v>1.0622988292683728</v>
      </c>
    </row>
    <row r="96" spans="11:15" ht="15.75" thickBot="1" x14ac:dyDescent="0.3"/>
    <row r="97" spans="12:15" ht="15.75" thickBot="1" x14ac:dyDescent="0.3">
      <c r="L97" s="88" t="s">
        <v>77</v>
      </c>
      <c r="N97" s="52">
        <f>(1-O95)/N95</f>
        <v>4.2017255667273945</v>
      </c>
      <c r="O97" s="53"/>
    </row>
  </sheetData>
  <mergeCells count="21">
    <mergeCell ref="B42:B43"/>
    <mergeCell ref="J17:J19"/>
    <mergeCell ref="J20:J22"/>
    <mergeCell ref="J23:J25"/>
    <mergeCell ref="J26:J28"/>
    <mergeCell ref="J29:J31"/>
    <mergeCell ref="J32:J34"/>
    <mergeCell ref="J35:J37"/>
    <mergeCell ref="J38:J40"/>
    <mergeCell ref="B21:B22"/>
    <mergeCell ref="B24:B25"/>
    <mergeCell ref="B27:B28"/>
    <mergeCell ref="B30:B31"/>
    <mergeCell ref="B36:B37"/>
    <mergeCell ref="B39:B40"/>
    <mergeCell ref="B33:B34"/>
    <mergeCell ref="B9:B10"/>
    <mergeCell ref="B6:B7"/>
    <mergeCell ref="B12:B13"/>
    <mergeCell ref="B15:B16"/>
    <mergeCell ref="B18:B19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30" r:id="rId4">
          <objectPr defaultSize="0" autoPict="0" r:id="rId5">
            <anchor moveWithCells="1" sizeWithCells="1">
              <from>
                <xdr:col>14</xdr:col>
                <xdr:colOff>28575</xdr:colOff>
                <xdr:row>24</xdr:row>
                <xdr:rowOff>19050</xdr:rowOff>
              </from>
              <to>
                <xdr:col>14</xdr:col>
                <xdr:colOff>1685925</xdr:colOff>
                <xdr:row>25</xdr:row>
                <xdr:rowOff>85725</xdr:rowOff>
              </to>
            </anchor>
          </objectPr>
        </oleObject>
      </mc:Choice>
      <mc:Fallback>
        <oleObject progId="Equation.3" shapeId="1030" r:id="rId4"/>
      </mc:Fallback>
    </mc:AlternateContent>
    <mc:AlternateContent xmlns:mc="http://schemas.openxmlformats.org/markup-compatibility/2006">
      <mc:Choice Requires="x14">
        <oleObject progId="Equation.3" shapeId="1029" r:id="rId6">
          <objectPr defaultSize="0" autoPict="0" r:id="rId7">
            <anchor moveWithCells="1" sizeWithCells="1">
              <from>
                <xdr:col>14</xdr:col>
                <xdr:colOff>142875</xdr:colOff>
                <xdr:row>25</xdr:row>
                <xdr:rowOff>371475</xdr:rowOff>
              </from>
              <to>
                <xdr:col>14</xdr:col>
                <xdr:colOff>1905000</xdr:colOff>
                <xdr:row>27</xdr:row>
                <xdr:rowOff>47625</xdr:rowOff>
              </to>
            </anchor>
          </objectPr>
        </oleObject>
      </mc:Choice>
      <mc:Fallback>
        <oleObject progId="Equation.3" shapeId="1029" r:id="rId6"/>
      </mc:Fallback>
    </mc:AlternateContent>
    <mc:AlternateContent xmlns:mc="http://schemas.openxmlformats.org/markup-compatibility/2006">
      <mc:Choice Requires="x14">
        <oleObject progId="Equation.3" shapeId="1028" r:id="rId8">
          <objectPr defaultSize="0" autoPict="0" r:id="rId9">
            <anchor moveWithCells="1" sizeWithCells="1">
              <from>
                <xdr:col>14</xdr:col>
                <xdr:colOff>314325</xdr:colOff>
                <xdr:row>25</xdr:row>
                <xdr:rowOff>104775</xdr:rowOff>
              </from>
              <to>
                <xdr:col>14</xdr:col>
                <xdr:colOff>1885950</xdr:colOff>
                <xdr:row>25</xdr:row>
                <xdr:rowOff>333375</xdr:rowOff>
              </to>
            </anchor>
          </objectPr>
        </oleObject>
      </mc:Choice>
      <mc:Fallback>
        <oleObject progId="Equation.3" shapeId="1028" r:id="rId8"/>
      </mc:Fallback>
    </mc:AlternateContent>
    <mc:AlternateContent xmlns:mc="http://schemas.openxmlformats.org/markup-compatibility/2006">
      <mc:Choice Requires="x14">
        <oleObject progId="Excel.Chart.8" shapeId="1031" r:id="rId10">
          <objectPr defaultSize="0" autoPict="0" r:id="rId11">
            <anchor moveWithCells="1" sizeWithCells="1">
              <from>
                <xdr:col>17</xdr:col>
                <xdr:colOff>66675</xdr:colOff>
                <xdr:row>21</xdr:row>
                <xdr:rowOff>123825</xdr:rowOff>
              </from>
              <to>
                <xdr:col>21</xdr:col>
                <xdr:colOff>533400</xdr:colOff>
                <xdr:row>35</xdr:row>
                <xdr:rowOff>171450</xdr:rowOff>
              </to>
            </anchor>
          </objectPr>
        </oleObject>
      </mc:Choice>
      <mc:Fallback>
        <oleObject progId="Excel.Chart.8" shapeId="1031" r:id="rId10"/>
      </mc:Fallback>
    </mc:AlternateContent>
    <mc:AlternateContent xmlns:mc="http://schemas.openxmlformats.org/markup-compatibility/2006">
      <mc:Choice Requires="x14">
        <oleObject progId="Equation.3" shapeId="1033" r:id="rId12">
          <objectPr defaultSize="0" autoPict="0" r:id="rId13">
            <anchor moveWithCells="1" sizeWithCells="1">
              <from>
                <xdr:col>14</xdr:col>
                <xdr:colOff>1352550</xdr:colOff>
                <xdr:row>21</xdr:row>
                <xdr:rowOff>9525</xdr:rowOff>
              </from>
              <to>
                <xdr:col>14</xdr:col>
                <xdr:colOff>1752600</xdr:colOff>
                <xdr:row>21</xdr:row>
                <xdr:rowOff>180975</xdr:rowOff>
              </to>
            </anchor>
          </objectPr>
        </oleObject>
      </mc:Choice>
      <mc:Fallback>
        <oleObject progId="Equation.3" shapeId="1033" r:id="rId12"/>
      </mc:Fallback>
    </mc:AlternateContent>
    <mc:AlternateContent xmlns:mc="http://schemas.openxmlformats.org/markup-compatibility/2006">
      <mc:Choice Requires="x14">
        <oleObject shapeId="1035" r:id="rId14">
          <objectPr defaultSize="0" autoPict="0" r:id="rId15">
            <anchor moveWithCells="1" sizeWithCells="1">
              <from>
                <xdr:col>14</xdr:col>
                <xdr:colOff>2914650</xdr:colOff>
                <xdr:row>12</xdr:row>
                <xdr:rowOff>66675</xdr:rowOff>
              </from>
              <to>
                <xdr:col>16</xdr:col>
                <xdr:colOff>438150</xdr:colOff>
                <xdr:row>15</xdr:row>
                <xdr:rowOff>161925</xdr:rowOff>
              </to>
            </anchor>
          </objectPr>
        </oleObject>
      </mc:Choice>
      <mc:Fallback>
        <oleObject shapeId="1035" r:id="rId1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Viganò</dc:creator>
  <cp:lastModifiedBy>Giorgia Viganò</cp:lastModifiedBy>
  <dcterms:created xsi:type="dcterms:W3CDTF">2022-06-16T18:28:20Z</dcterms:created>
  <dcterms:modified xsi:type="dcterms:W3CDTF">2022-06-17T02:44:55Z</dcterms:modified>
</cp:coreProperties>
</file>